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EAD" sheetId="2" state="visible" r:id="rId2"/>
    <sheet xmlns:r="http://schemas.openxmlformats.org/officeDocument/2006/relationships" name="CashFlows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Tor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r</t>
        </is>
      </c>
      <c r="B2" s="2" t="n">
        <v>0.08500000000000001</v>
      </c>
      <c r="C2" t="inlineStr">
        <is>
          <t>per year</t>
        </is>
      </c>
      <c r="D2" t="inlineStr">
        <is>
          <t>Discount rate (CDRI 8.5%)</t>
        </is>
      </c>
    </row>
    <row r="3">
      <c r="A3" t="inlineStr">
        <is>
          <t>growth</t>
        </is>
      </c>
      <c r="B3" s="2" t="n">
        <v>0</v>
      </c>
      <c r="C3" t="inlineStr">
        <is>
          <t>per decade</t>
        </is>
      </c>
      <c r="D3" t="inlineStr">
        <is>
          <t>Wind-speed growth (climate)</t>
        </is>
      </c>
    </row>
    <row r="4">
      <c r="A4" t="inlineStr">
        <is>
          <t>cost</t>
        </is>
      </c>
      <c r="B4" s="2" t="n">
        <v>0.73046875</v>
      </c>
      <c r="C4" t="inlineStr">
        <is>
          <t>INR cr/tower</t>
        </is>
      </c>
      <c r="D4" t="inlineStr">
        <is>
          <t>Repair cost per damaged tower (Fani DLNA)</t>
        </is>
      </c>
    </row>
    <row r="5">
      <c r="A5" t="inlineStr">
        <is>
          <t>days</t>
        </is>
      </c>
      <c r="B5" s="2" t="n">
        <v>7</v>
      </c>
      <c r="C5" t="inlineStr">
        <is>
          <t>days</t>
        </is>
      </c>
      <c r="D5" t="inlineStr">
        <is>
          <t>Outage duration</t>
        </is>
      </c>
    </row>
    <row r="6">
      <c r="A6" t="inlineStr">
        <is>
          <t>kwh</t>
        </is>
      </c>
      <c r="B6" s="2" t="n">
        <v>3</v>
      </c>
      <c r="C6" t="inlineStr">
        <is>
          <t>kWh/person/day</t>
        </is>
      </c>
      <c r="D6" t="inlineStr">
        <is>
          <t>Energy served per person</t>
        </is>
      </c>
    </row>
    <row r="7">
      <c r="A7" t="inlineStr">
        <is>
          <t>voll</t>
        </is>
      </c>
      <c r="B7" s="2" t="n">
        <v>100</v>
      </c>
      <c r="C7" t="inlineStr">
        <is>
          <t>INR/kWh</t>
        </is>
      </c>
      <c r="D7" t="inlineStr">
        <is>
          <t>Value of lost load</t>
        </is>
      </c>
    </row>
    <row r="8">
      <c r="A8" t="inlineStr">
        <is>
          <t>renewal</t>
        </is>
      </c>
      <c r="B8" s="2" t="n">
        <v>0.03</v>
      </c>
      <c r="C8" t="inlineStr">
        <is>
          <t>share/yr</t>
        </is>
      </c>
      <c r="D8" t="inlineStr">
        <is>
          <t>(a) towers built/rebuilt per year</t>
        </is>
      </c>
    </row>
    <row r="9">
      <c r="A9" t="inlineStr">
        <is>
          <t>new_cost</t>
        </is>
      </c>
      <c r="B9" s="2" t="n">
        <v>0.6</v>
      </c>
      <c r="C9" t="inlineStr">
        <is>
          <t>INR cr/tower</t>
        </is>
      </c>
      <c r="D9" t="inlineStr">
        <is>
          <t>(a) new tower cost</t>
        </is>
      </c>
    </row>
    <row r="10">
      <c r="A10" t="inlineStr">
        <is>
          <t>incr</t>
        </is>
      </c>
      <c r="B10" s="2" t="n">
        <v>0.2</v>
      </c>
      <c r="C10" t="inlineStr">
        <is>
          <t>share</t>
        </is>
      </c>
      <c r="D10" t="inlineStr">
        <is>
          <t>(a) extra cost of higher design</t>
        </is>
      </c>
    </row>
    <row r="11">
      <c r="A11" t="inlineStr">
        <is>
          <t>n_a</t>
        </is>
      </c>
      <c r="B11" s="2" t="n">
        <v>9672</v>
      </c>
      <c r="C11" t="inlineStr">
        <is>
          <t>towers</t>
        </is>
      </c>
      <c r="D11" t="inlineStr">
        <is>
          <t>(a) towers in coastal band</t>
        </is>
      </c>
    </row>
    <row r="12">
      <c r="A12" t="inlineStr">
        <is>
          <t>retrofit</t>
        </is>
      </c>
      <c r="B12" s="2" t="n">
        <v>0.35</v>
      </c>
      <c r="C12" t="inlineStr">
        <is>
          <t>INR cr/tower</t>
        </is>
      </c>
      <c r="D12" t="inlineStr">
        <is>
          <t>(b) retrofit cost</t>
        </is>
      </c>
    </row>
    <row r="13">
      <c r="A13" t="inlineStr">
        <is>
          <t>build</t>
        </is>
      </c>
      <c r="B13" s="2" t="n">
        <v>3</v>
      </c>
      <c r="C13" t="inlineStr">
        <is>
          <t>years</t>
        </is>
      </c>
      <c r="D13" t="inlineStr">
        <is>
          <t>(b) build period</t>
        </is>
      </c>
    </row>
    <row r="14">
      <c r="A14" t="inlineStr">
        <is>
          <t>n_b</t>
        </is>
      </c>
      <c r="B14" s="2" t="n">
        <v>3590</v>
      </c>
      <c r="C14" t="inlineStr">
        <is>
          <t>towers</t>
        </is>
      </c>
      <c r="D14" t="inlineStr">
        <is>
          <t>(b) towers on top lines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option</t>
        </is>
      </c>
      <c r="B1" s="1" t="inlineStr">
        <is>
          <t>towers_at_scale1</t>
        </is>
      </c>
      <c r="C1" s="1" t="inlineStr">
        <is>
          <t>towers_slope</t>
        </is>
      </c>
      <c r="D1" s="1" t="inlineStr">
        <is>
          <t>pop_at_scale1</t>
        </is>
      </c>
      <c r="E1" s="1" t="inlineStr">
        <is>
          <t>pop_slope</t>
        </is>
      </c>
      <c r="F1" s="1" t="inlineStr">
        <is>
          <t>note</t>
        </is>
      </c>
    </row>
    <row r="2">
      <c r="A2" t="inlineStr">
        <is>
          <t>base</t>
        </is>
      </c>
      <c r="B2" t="n">
        <v>93.41320494712245</v>
      </c>
      <c r="C2" t="n">
        <v>392.2780555419293</v>
      </c>
      <c r="D2" t="n">
        <v>474217.3942719438</v>
      </c>
      <c r="E2" t="n">
        <v>1644585.810364129</v>
      </c>
      <c r="F2" t="inlineStr">
        <is>
          <t>expected damaged towers / person-outages per year (from Notebook 06 risk runs)</t>
        </is>
      </c>
    </row>
    <row r="3">
      <c r="A3" t="inlineStr">
        <is>
          <t>a</t>
        </is>
      </c>
      <c r="B3" t="n">
        <v>57.82549233594101</v>
      </c>
      <c r="C3" t="n">
        <v>287.0694072837787</v>
      </c>
      <c r="D3" t="n">
        <v>323884.2678770244</v>
      </c>
      <c r="E3" t="n">
        <v>1218628.823769108</v>
      </c>
      <c r="F3" t="inlineStr">
        <is>
          <t>expected damaged towers / person-outages per year (from Notebook 06 risk runs)</t>
        </is>
      </c>
    </row>
    <row r="4">
      <c r="A4" t="inlineStr">
        <is>
          <t>b</t>
        </is>
      </c>
      <c r="B4" t="n">
        <v>78.68977769785539</v>
      </c>
      <c r="C4" t="n">
        <v>344.5114957511072</v>
      </c>
      <c r="D4" t="n">
        <v>439896.5848798444</v>
      </c>
      <c r="E4" t="n">
        <v>1568852.689165217</v>
      </c>
      <c r="F4" t="inlineStr">
        <is>
          <t>expected damaged towers / person-outages per year (from Notebook 06 risk runs)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year</t>
        </is>
      </c>
      <c r="B1" s="1" t="inlineStr">
        <is>
          <t>discount_factor</t>
        </is>
      </c>
      <c r="C1" s="1" t="inlineStr">
        <is>
          <t>hazard_scale</t>
        </is>
      </c>
      <c r="D1" s="1" t="inlineStr">
        <is>
          <t>share_a_built</t>
        </is>
      </c>
      <c r="E1" s="1" t="inlineStr">
        <is>
          <t>share_b_built</t>
        </is>
      </c>
      <c r="F1" s="1" t="inlineStr">
        <is>
          <t>EAD_base</t>
        </is>
      </c>
      <c r="G1" s="1" t="inlineStr">
        <is>
          <t>EAD_a_full</t>
        </is>
      </c>
      <c r="H1" s="1" t="inlineStr">
        <is>
          <t>EAD_b_full</t>
        </is>
      </c>
      <c r="I1" s="1" t="inlineStr">
        <is>
          <t>EAD_a</t>
        </is>
      </c>
      <c r="J1" s="1" t="inlineStr">
        <is>
          <t>EAD_b</t>
        </is>
      </c>
      <c r="K1" s="1" t="inlineStr">
        <is>
          <t>cost_a</t>
        </is>
      </c>
      <c r="L1" s="1" t="inlineStr">
        <is>
          <t>cost_b</t>
        </is>
      </c>
      <c r="M1" s="1" t="inlineStr">
        <is>
          <t>benefit_a</t>
        </is>
      </c>
      <c r="N1" s="1" t="inlineStr">
        <is>
          <t>benefit_b</t>
        </is>
      </c>
      <c r="O1" s="1" t="inlineStr">
        <is>
          <t>PV_benefit_a</t>
        </is>
      </c>
      <c r="P1" s="1" t="inlineStr">
        <is>
          <t>PV_cost_a</t>
        </is>
      </c>
      <c r="Q1" s="1" t="inlineStr">
        <is>
          <t>PV_benefit_b</t>
        </is>
      </c>
      <c r="R1" s="1" t="inlineStr">
        <is>
          <t>PV_cost_b</t>
        </is>
      </c>
    </row>
    <row r="2">
      <c r="A2" t="n">
        <v>1</v>
      </c>
      <c r="B2">
        <f>1/(1+Inputs!$B$2)^A2</f>
        <v/>
      </c>
      <c r="C2">
        <f>1+Inputs!$B$3*A2/10</f>
        <v/>
      </c>
      <c r="D2">
        <f>MIN(1,Inputs!$B$8*A2)</f>
        <v/>
      </c>
      <c r="E2">
        <f>MIN(1,A2/Inputs!$B$13)</f>
        <v/>
      </c>
      <c r="F2">
        <f>((EAD!$B$2+EAD!$C$2*(C2-1))*Inputs!$B$4+(EAD!$D$2+EAD!$E$2*(C2-1))*Inputs!$B$5*Inputs!$B$6*Inputs!$B$7/10000000)</f>
        <v/>
      </c>
      <c r="G2">
        <f>((EAD!$B$3+EAD!$C$3*(C2-1))*Inputs!$B$4+(EAD!$D$3+EAD!$E$3*(C2-1))*Inputs!$B$5*Inputs!$B$6*Inputs!$B$7/10000000)</f>
        <v/>
      </c>
      <c r="H2">
        <f>((EAD!$B$4+EAD!$C$4*(C2-1))*Inputs!$B$4+(EAD!$D$4+EAD!$E$4*(C2-1))*Inputs!$B$5*Inputs!$B$6*Inputs!$B$7/10000000)</f>
        <v/>
      </c>
      <c r="I2">
        <f>F2-D2*(F2-G2)</f>
        <v/>
      </c>
      <c r="J2">
        <f>F2-E2*(F2-H2)</f>
        <v/>
      </c>
      <c r="K2">
        <f>IF(Inputs!$B$8*(A2-1)&lt;1,Inputs!$B$8*Inputs!$B$11*Inputs!$B$9*Inputs!$B$10,0)</f>
        <v/>
      </c>
      <c r="L2">
        <f>IF(A2&lt;=Inputs!$B$13,Inputs!$B$14*Inputs!$B$12/Inputs!$B$13,0)</f>
        <v/>
      </c>
      <c r="M2">
        <f>F2-I2</f>
        <v/>
      </c>
      <c r="N2">
        <f>F2-J2</f>
        <v/>
      </c>
      <c r="O2">
        <f>M2*B2</f>
        <v/>
      </c>
      <c r="P2">
        <f>K2*B2</f>
        <v/>
      </c>
      <c r="Q2">
        <f>N2*B2</f>
        <v/>
      </c>
      <c r="R2">
        <f>L2*B2</f>
        <v/>
      </c>
    </row>
    <row r="3">
      <c r="A3" t="n">
        <v>2</v>
      </c>
      <c r="B3">
        <f>1/(1+Inputs!$B$2)^A3</f>
        <v/>
      </c>
      <c r="C3">
        <f>1+Inputs!$B$3*A3/10</f>
        <v/>
      </c>
      <c r="D3">
        <f>MIN(1,Inputs!$B$8*A3)</f>
        <v/>
      </c>
      <c r="E3">
        <f>MIN(1,A3/Inputs!$B$13)</f>
        <v/>
      </c>
      <c r="F3">
        <f>((EAD!$B$2+EAD!$C$2*(C3-1))*Inputs!$B$4+(EAD!$D$2+EAD!$E$2*(C3-1))*Inputs!$B$5*Inputs!$B$6*Inputs!$B$7/10000000)</f>
        <v/>
      </c>
      <c r="G3">
        <f>((EAD!$B$3+EAD!$C$3*(C3-1))*Inputs!$B$4+(EAD!$D$3+EAD!$E$3*(C3-1))*Inputs!$B$5*Inputs!$B$6*Inputs!$B$7/10000000)</f>
        <v/>
      </c>
      <c r="H3">
        <f>((EAD!$B$4+EAD!$C$4*(C3-1))*Inputs!$B$4+(EAD!$D$4+EAD!$E$4*(C3-1))*Inputs!$B$5*Inputs!$B$6*Inputs!$B$7/10000000)</f>
        <v/>
      </c>
      <c r="I3">
        <f>F3-D3*(F3-G3)</f>
        <v/>
      </c>
      <c r="J3">
        <f>F3-E3*(F3-H3)</f>
        <v/>
      </c>
      <c r="K3">
        <f>IF(Inputs!$B$8*(A3-1)&lt;1,Inputs!$B$8*Inputs!$B$11*Inputs!$B$9*Inputs!$B$10,0)</f>
        <v/>
      </c>
      <c r="L3">
        <f>IF(A3&lt;=Inputs!$B$13,Inputs!$B$14*Inputs!$B$12/Inputs!$B$13,0)</f>
        <v/>
      </c>
      <c r="M3">
        <f>F3-I3</f>
        <v/>
      </c>
      <c r="N3">
        <f>F3-J3</f>
        <v/>
      </c>
      <c r="O3">
        <f>M3*B3</f>
        <v/>
      </c>
      <c r="P3">
        <f>K3*B3</f>
        <v/>
      </c>
      <c r="Q3">
        <f>N3*B3</f>
        <v/>
      </c>
      <c r="R3">
        <f>L3*B3</f>
        <v/>
      </c>
    </row>
    <row r="4">
      <c r="A4" t="n">
        <v>3</v>
      </c>
      <c r="B4">
        <f>1/(1+Inputs!$B$2)^A4</f>
        <v/>
      </c>
      <c r="C4">
        <f>1+Inputs!$B$3*A4/10</f>
        <v/>
      </c>
      <c r="D4">
        <f>MIN(1,Inputs!$B$8*A4)</f>
        <v/>
      </c>
      <c r="E4">
        <f>MIN(1,A4/Inputs!$B$13)</f>
        <v/>
      </c>
      <c r="F4">
        <f>((EAD!$B$2+EAD!$C$2*(C4-1))*Inputs!$B$4+(EAD!$D$2+EAD!$E$2*(C4-1))*Inputs!$B$5*Inputs!$B$6*Inputs!$B$7/10000000)</f>
        <v/>
      </c>
      <c r="G4">
        <f>((EAD!$B$3+EAD!$C$3*(C4-1))*Inputs!$B$4+(EAD!$D$3+EAD!$E$3*(C4-1))*Inputs!$B$5*Inputs!$B$6*Inputs!$B$7/10000000)</f>
        <v/>
      </c>
      <c r="H4">
        <f>((EAD!$B$4+EAD!$C$4*(C4-1))*Inputs!$B$4+(EAD!$D$4+EAD!$E$4*(C4-1))*Inputs!$B$5*Inputs!$B$6*Inputs!$B$7/10000000)</f>
        <v/>
      </c>
      <c r="I4">
        <f>F4-D4*(F4-G4)</f>
        <v/>
      </c>
      <c r="J4">
        <f>F4-E4*(F4-H4)</f>
        <v/>
      </c>
      <c r="K4">
        <f>IF(Inputs!$B$8*(A4-1)&lt;1,Inputs!$B$8*Inputs!$B$11*Inputs!$B$9*Inputs!$B$10,0)</f>
        <v/>
      </c>
      <c r="L4">
        <f>IF(A4&lt;=Inputs!$B$13,Inputs!$B$14*Inputs!$B$12/Inputs!$B$13,0)</f>
        <v/>
      </c>
      <c r="M4">
        <f>F4-I4</f>
        <v/>
      </c>
      <c r="N4">
        <f>F4-J4</f>
        <v/>
      </c>
      <c r="O4">
        <f>M4*B4</f>
        <v/>
      </c>
      <c r="P4">
        <f>K4*B4</f>
        <v/>
      </c>
      <c r="Q4">
        <f>N4*B4</f>
        <v/>
      </c>
      <c r="R4">
        <f>L4*B4</f>
        <v/>
      </c>
    </row>
    <row r="5">
      <c r="A5" t="n">
        <v>4</v>
      </c>
      <c r="B5">
        <f>1/(1+Inputs!$B$2)^A5</f>
        <v/>
      </c>
      <c r="C5">
        <f>1+Inputs!$B$3*A5/10</f>
        <v/>
      </c>
      <c r="D5">
        <f>MIN(1,Inputs!$B$8*A5)</f>
        <v/>
      </c>
      <c r="E5">
        <f>MIN(1,A5/Inputs!$B$13)</f>
        <v/>
      </c>
      <c r="F5">
        <f>((EAD!$B$2+EAD!$C$2*(C5-1))*Inputs!$B$4+(EAD!$D$2+EAD!$E$2*(C5-1))*Inputs!$B$5*Inputs!$B$6*Inputs!$B$7/10000000)</f>
        <v/>
      </c>
      <c r="G5">
        <f>((EAD!$B$3+EAD!$C$3*(C5-1))*Inputs!$B$4+(EAD!$D$3+EAD!$E$3*(C5-1))*Inputs!$B$5*Inputs!$B$6*Inputs!$B$7/10000000)</f>
        <v/>
      </c>
      <c r="H5">
        <f>((EAD!$B$4+EAD!$C$4*(C5-1))*Inputs!$B$4+(EAD!$D$4+EAD!$E$4*(C5-1))*Inputs!$B$5*Inputs!$B$6*Inputs!$B$7/10000000)</f>
        <v/>
      </c>
      <c r="I5">
        <f>F5-D5*(F5-G5)</f>
        <v/>
      </c>
      <c r="J5">
        <f>F5-E5*(F5-H5)</f>
        <v/>
      </c>
      <c r="K5">
        <f>IF(Inputs!$B$8*(A5-1)&lt;1,Inputs!$B$8*Inputs!$B$11*Inputs!$B$9*Inputs!$B$10,0)</f>
        <v/>
      </c>
      <c r="L5">
        <f>IF(A5&lt;=Inputs!$B$13,Inputs!$B$14*Inputs!$B$12/Inputs!$B$13,0)</f>
        <v/>
      </c>
      <c r="M5">
        <f>F5-I5</f>
        <v/>
      </c>
      <c r="N5">
        <f>F5-J5</f>
        <v/>
      </c>
      <c r="O5">
        <f>M5*B5</f>
        <v/>
      </c>
      <c r="P5">
        <f>K5*B5</f>
        <v/>
      </c>
      <c r="Q5">
        <f>N5*B5</f>
        <v/>
      </c>
      <c r="R5">
        <f>L5*B5</f>
        <v/>
      </c>
    </row>
    <row r="6">
      <c r="A6" t="n">
        <v>5</v>
      </c>
      <c r="B6">
        <f>1/(1+Inputs!$B$2)^A6</f>
        <v/>
      </c>
      <c r="C6">
        <f>1+Inputs!$B$3*A6/10</f>
        <v/>
      </c>
      <c r="D6">
        <f>MIN(1,Inputs!$B$8*A6)</f>
        <v/>
      </c>
      <c r="E6">
        <f>MIN(1,A6/Inputs!$B$13)</f>
        <v/>
      </c>
      <c r="F6">
        <f>((EAD!$B$2+EAD!$C$2*(C6-1))*Inputs!$B$4+(EAD!$D$2+EAD!$E$2*(C6-1))*Inputs!$B$5*Inputs!$B$6*Inputs!$B$7/10000000)</f>
        <v/>
      </c>
      <c r="G6">
        <f>((EAD!$B$3+EAD!$C$3*(C6-1))*Inputs!$B$4+(EAD!$D$3+EAD!$E$3*(C6-1))*Inputs!$B$5*Inputs!$B$6*Inputs!$B$7/10000000)</f>
        <v/>
      </c>
      <c r="H6">
        <f>((EAD!$B$4+EAD!$C$4*(C6-1))*Inputs!$B$4+(EAD!$D$4+EAD!$E$4*(C6-1))*Inputs!$B$5*Inputs!$B$6*Inputs!$B$7/10000000)</f>
        <v/>
      </c>
      <c r="I6">
        <f>F6-D6*(F6-G6)</f>
        <v/>
      </c>
      <c r="J6">
        <f>F6-E6*(F6-H6)</f>
        <v/>
      </c>
      <c r="K6">
        <f>IF(Inputs!$B$8*(A6-1)&lt;1,Inputs!$B$8*Inputs!$B$11*Inputs!$B$9*Inputs!$B$10,0)</f>
        <v/>
      </c>
      <c r="L6">
        <f>IF(A6&lt;=Inputs!$B$13,Inputs!$B$14*Inputs!$B$12/Inputs!$B$13,0)</f>
        <v/>
      </c>
      <c r="M6">
        <f>F6-I6</f>
        <v/>
      </c>
      <c r="N6">
        <f>F6-J6</f>
        <v/>
      </c>
      <c r="O6">
        <f>M6*B6</f>
        <v/>
      </c>
      <c r="P6">
        <f>K6*B6</f>
        <v/>
      </c>
      <c r="Q6">
        <f>N6*B6</f>
        <v/>
      </c>
      <c r="R6">
        <f>L6*B6</f>
        <v/>
      </c>
    </row>
    <row r="7">
      <c r="A7" t="n">
        <v>6</v>
      </c>
      <c r="B7">
        <f>1/(1+Inputs!$B$2)^A7</f>
        <v/>
      </c>
      <c r="C7">
        <f>1+Inputs!$B$3*A7/10</f>
        <v/>
      </c>
      <c r="D7">
        <f>MIN(1,Inputs!$B$8*A7)</f>
        <v/>
      </c>
      <c r="E7">
        <f>MIN(1,A7/Inputs!$B$13)</f>
        <v/>
      </c>
      <c r="F7">
        <f>((EAD!$B$2+EAD!$C$2*(C7-1))*Inputs!$B$4+(EAD!$D$2+EAD!$E$2*(C7-1))*Inputs!$B$5*Inputs!$B$6*Inputs!$B$7/10000000)</f>
        <v/>
      </c>
      <c r="G7">
        <f>((EAD!$B$3+EAD!$C$3*(C7-1))*Inputs!$B$4+(EAD!$D$3+EAD!$E$3*(C7-1))*Inputs!$B$5*Inputs!$B$6*Inputs!$B$7/10000000)</f>
        <v/>
      </c>
      <c r="H7">
        <f>((EAD!$B$4+EAD!$C$4*(C7-1))*Inputs!$B$4+(EAD!$D$4+EAD!$E$4*(C7-1))*Inputs!$B$5*Inputs!$B$6*Inputs!$B$7/10000000)</f>
        <v/>
      </c>
      <c r="I7">
        <f>F7-D7*(F7-G7)</f>
        <v/>
      </c>
      <c r="J7">
        <f>F7-E7*(F7-H7)</f>
        <v/>
      </c>
      <c r="K7">
        <f>IF(Inputs!$B$8*(A7-1)&lt;1,Inputs!$B$8*Inputs!$B$11*Inputs!$B$9*Inputs!$B$10,0)</f>
        <v/>
      </c>
      <c r="L7">
        <f>IF(A7&lt;=Inputs!$B$13,Inputs!$B$14*Inputs!$B$12/Inputs!$B$13,0)</f>
        <v/>
      </c>
      <c r="M7">
        <f>F7-I7</f>
        <v/>
      </c>
      <c r="N7">
        <f>F7-J7</f>
        <v/>
      </c>
      <c r="O7">
        <f>M7*B7</f>
        <v/>
      </c>
      <c r="P7">
        <f>K7*B7</f>
        <v/>
      </c>
      <c r="Q7">
        <f>N7*B7</f>
        <v/>
      </c>
      <c r="R7">
        <f>L7*B7</f>
        <v/>
      </c>
    </row>
    <row r="8">
      <c r="A8" t="n">
        <v>7</v>
      </c>
      <c r="B8">
        <f>1/(1+Inputs!$B$2)^A8</f>
        <v/>
      </c>
      <c r="C8">
        <f>1+Inputs!$B$3*A8/10</f>
        <v/>
      </c>
      <c r="D8">
        <f>MIN(1,Inputs!$B$8*A8)</f>
        <v/>
      </c>
      <c r="E8">
        <f>MIN(1,A8/Inputs!$B$13)</f>
        <v/>
      </c>
      <c r="F8">
        <f>((EAD!$B$2+EAD!$C$2*(C8-1))*Inputs!$B$4+(EAD!$D$2+EAD!$E$2*(C8-1))*Inputs!$B$5*Inputs!$B$6*Inputs!$B$7/10000000)</f>
        <v/>
      </c>
      <c r="G8">
        <f>((EAD!$B$3+EAD!$C$3*(C8-1))*Inputs!$B$4+(EAD!$D$3+EAD!$E$3*(C8-1))*Inputs!$B$5*Inputs!$B$6*Inputs!$B$7/10000000)</f>
        <v/>
      </c>
      <c r="H8">
        <f>((EAD!$B$4+EAD!$C$4*(C8-1))*Inputs!$B$4+(EAD!$D$4+EAD!$E$4*(C8-1))*Inputs!$B$5*Inputs!$B$6*Inputs!$B$7/10000000)</f>
        <v/>
      </c>
      <c r="I8">
        <f>F8-D8*(F8-G8)</f>
        <v/>
      </c>
      <c r="J8">
        <f>F8-E8*(F8-H8)</f>
        <v/>
      </c>
      <c r="K8">
        <f>IF(Inputs!$B$8*(A8-1)&lt;1,Inputs!$B$8*Inputs!$B$11*Inputs!$B$9*Inputs!$B$10,0)</f>
        <v/>
      </c>
      <c r="L8">
        <f>IF(A8&lt;=Inputs!$B$13,Inputs!$B$14*Inputs!$B$12/Inputs!$B$13,0)</f>
        <v/>
      </c>
      <c r="M8">
        <f>F8-I8</f>
        <v/>
      </c>
      <c r="N8">
        <f>F8-J8</f>
        <v/>
      </c>
      <c r="O8">
        <f>M8*B8</f>
        <v/>
      </c>
      <c r="P8">
        <f>K8*B8</f>
        <v/>
      </c>
      <c r="Q8">
        <f>N8*B8</f>
        <v/>
      </c>
      <c r="R8">
        <f>L8*B8</f>
        <v/>
      </c>
    </row>
    <row r="9">
      <c r="A9" t="n">
        <v>8</v>
      </c>
      <c r="B9">
        <f>1/(1+Inputs!$B$2)^A9</f>
        <v/>
      </c>
      <c r="C9">
        <f>1+Inputs!$B$3*A9/10</f>
        <v/>
      </c>
      <c r="D9">
        <f>MIN(1,Inputs!$B$8*A9)</f>
        <v/>
      </c>
      <c r="E9">
        <f>MIN(1,A9/Inputs!$B$13)</f>
        <v/>
      </c>
      <c r="F9">
        <f>((EAD!$B$2+EAD!$C$2*(C9-1))*Inputs!$B$4+(EAD!$D$2+EAD!$E$2*(C9-1))*Inputs!$B$5*Inputs!$B$6*Inputs!$B$7/10000000)</f>
        <v/>
      </c>
      <c r="G9">
        <f>((EAD!$B$3+EAD!$C$3*(C9-1))*Inputs!$B$4+(EAD!$D$3+EAD!$E$3*(C9-1))*Inputs!$B$5*Inputs!$B$6*Inputs!$B$7/10000000)</f>
        <v/>
      </c>
      <c r="H9">
        <f>((EAD!$B$4+EAD!$C$4*(C9-1))*Inputs!$B$4+(EAD!$D$4+EAD!$E$4*(C9-1))*Inputs!$B$5*Inputs!$B$6*Inputs!$B$7/10000000)</f>
        <v/>
      </c>
      <c r="I9">
        <f>F9-D9*(F9-G9)</f>
        <v/>
      </c>
      <c r="J9">
        <f>F9-E9*(F9-H9)</f>
        <v/>
      </c>
      <c r="K9">
        <f>IF(Inputs!$B$8*(A9-1)&lt;1,Inputs!$B$8*Inputs!$B$11*Inputs!$B$9*Inputs!$B$10,0)</f>
        <v/>
      </c>
      <c r="L9">
        <f>IF(A9&lt;=Inputs!$B$13,Inputs!$B$14*Inputs!$B$12/Inputs!$B$13,0)</f>
        <v/>
      </c>
      <c r="M9">
        <f>F9-I9</f>
        <v/>
      </c>
      <c r="N9">
        <f>F9-J9</f>
        <v/>
      </c>
      <c r="O9">
        <f>M9*B9</f>
        <v/>
      </c>
      <c r="P9">
        <f>K9*B9</f>
        <v/>
      </c>
      <c r="Q9">
        <f>N9*B9</f>
        <v/>
      </c>
      <c r="R9">
        <f>L9*B9</f>
        <v/>
      </c>
    </row>
    <row r="10">
      <c r="A10" t="n">
        <v>9</v>
      </c>
      <c r="B10">
        <f>1/(1+Inputs!$B$2)^A10</f>
        <v/>
      </c>
      <c r="C10">
        <f>1+Inputs!$B$3*A10/10</f>
        <v/>
      </c>
      <c r="D10">
        <f>MIN(1,Inputs!$B$8*A10)</f>
        <v/>
      </c>
      <c r="E10">
        <f>MIN(1,A10/Inputs!$B$13)</f>
        <v/>
      </c>
      <c r="F10">
        <f>((EAD!$B$2+EAD!$C$2*(C10-1))*Inputs!$B$4+(EAD!$D$2+EAD!$E$2*(C10-1))*Inputs!$B$5*Inputs!$B$6*Inputs!$B$7/10000000)</f>
        <v/>
      </c>
      <c r="G10">
        <f>((EAD!$B$3+EAD!$C$3*(C10-1))*Inputs!$B$4+(EAD!$D$3+EAD!$E$3*(C10-1))*Inputs!$B$5*Inputs!$B$6*Inputs!$B$7/10000000)</f>
        <v/>
      </c>
      <c r="H10">
        <f>((EAD!$B$4+EAD!$C$4*(C10-1))*Inputs!$B$4+(EAD!$D$4+EAD!$E$4*(C10-1))*Inputs!$B$5*Inputs!$B$6*Inputs!$B$7/10000000)</f>
        <v/>
      </c>
      <c r="I10">
        <f>F10-D10*(F10-G10)</f>
        <v/>
      </c>
      <c r="J10">
        <f>F10-E10*(F10-H10)</f>
        <v/>
      </c>
      <c r="K10">
        <f>IF(Inputs!$B$8*(A10-1)&lt;1,Inputs!$B$8*Inputs!$B$11*Inputs!$B$9*Inputs!$B$10,0)</f>
        <v/>
      </c>
      <c r="L10">
        <f>IF(A10&lt;=Inputs!$B$13,Inputs!$B$14*Inputs!$B$12/Inputs!$B$13,0)</f>
        <v/>
      </c>
      <c r="M10">
        <f>F10-I10</f>
        <v/>
      </c>
      <c r="N10">
        <f>F10-J10</f>
        <v/>
      </c>
      <c r="O10">
        <f>M10*B10</f>
        <v/>
      </c>
      <c r="P10">
        <f>K10*B10</f>
        <v/>
      </c>
      <c r="Q10">
        <f>N10*B10</f>
        <v/>
      </c>
      <c r="R10">
        <f>L10*B10</f>
        <v/>
      </c>
    </row>
    <row r="11">
      <c r="A11" t="n">
        <v>10</v>
      </c>
      <c r="B11">
        <f>1/(1+Inputs!$B$2)^A11</f>
        <v/>
      </c>
      <c r="C11">
        <f>1+Inputs!$B$3*A11/10</f>
        <v/>
      </c>
      <c r="D11">
        <f>MIN(1,Inputs!$B$8*A11)</f>
        <v/>
      </c>
      <c r="E11">
        <f>MIN(1,A11/Inputs!$B$13)</f>
        <v/>
      </c>
      <c r="F11">
        <f>((EAD!$B$2+EAD!$C$2*(C11-1))*Inputs!$B$4+(EAD!$D$2+EAD!$E$2*(C11-1))*Inputs!$B$5*Inputs!$B$6*Inputs!$B$7/10000000)</f>
        <v/>
      </c>
      <c r="G11">
        <f>((EAD!$B$3+EAD!$C$3*(C11-1))*Inputs!$B$4+(EAD!$D$3+EAD!$E$3*(C11-1))*Inputs!$B$5*Inputs!$B$6*Inputs!$B$7/10000000)</f>
        <v/>
      </c>
      <c r="H11">
        <f>((EAD!$B$4+EAD!$C$4*(C11-1))*Inputs!$B$4+(EAD!$D$4+EAD!$E$4*(C11-1))*Inputs!$B$5*Inputs!$B$6*Inputs!$B$7/10000000)</f>
        <v/>
      </c>
      <c r="I11">
        <f>F11-D11*(F11-G11)</f>
        <v/>
      </c>
      <c r="J11">
        <f>F11-E11*(F11-H11)</f>
        <v/>
      </c>
      <c r="K11">
        <f>IF(Inputs!$B$8*(A11-1)&lt;1,Inputs!$B$8*Inputs!$B$11*Inputs!$B$9*Inputs!$B$10,0)</f>
        <v/>
      </c>
      <c r="L11">
        <f>IF(A11&lt;=Inputs!$B$13,Inputs!$B$14*Inputs!$B$12/Inputs!$B$13,0)</f>
        <v/>
      </c>
      <c r="M11">
        <f>F11-I11</f>
        <v/>
      </c>
      <c r="N11">
        <f>F11-J11</f>
        <v/>
      </c>
      <c r="O11">
        <f>M11*B11</f>
        <v/>
      </c>
      <c r="P11">
        <f>K11*B11</f>
        <v/>
      </c>
      <c r="Q11">
        <f>N11*B11</f>
        <v/>
      </c>
      <c r="R11">
        <f>L11*B11</f>
        <v/>
      </c>
    </row>
    <row r="12">
      <c r="A12" t="n">
        <v>11</v>
      </c>
      <c r="B12">
        <f>1/(1+Inputs!$B$2)^A12</f>
        <v/>
      </c>
      <c r="C12">
        <f>1+Inputs!$B$3*A12/10</f>
        <v/>
      </c>
      <c r="D12">
        <f>MIN(1,Inputs!$B$8*A12)</f>
        <v/>
      </c>
      <c r="E12">
        <f>MIN(1,A12/Inputs!$B$13)</f>
        <v/>
      </c>
      <c r="F12">
        <f>((EAD!$B$2+EAD!$C$2*(C12-1))*Inputs!$B$4+(EAD!$D$2+EAD!$E$2*(C12-1))*Inputs!$B$5*Inputs!$B$6*Inputs!$B$7/10000000)</f>
        <v/>
      </c>
      <c r="G12">
        <f>((EAD!$B$3+EAD!$C$3*(C12-1))*Inputs!$B$4+(EAD!$D$3+EAD!$E$3*(C12-1))*Inputs!$B$5*Inputs!$B$6*Inputs!$B$7/10000000)</f>
        <v/>
      </c>
      <c r="H12">
        <f>((EAD!$B$4+EAD!$C$4*(C12-1))*Inputs!$B$4+(EAD!$D$4+EAD!$E$4*(C12-1))*Inputs!$B$5*Inputs!$B$6*Inputs!$B$7/10000000)</f>
        <v/>
      </c>
      <c r="I12">
        <f>F12-D12*(F12-G12)</f>
        <v/>
      </c>
      <c r="J12">
        <f>F12-E12*(F12-H12)</f>
        <v/>
      </c>
      <c r="K12">
        <f>IF(Inputs!$B$8*(A12-1)&lt;1,Inputs!$B$8*Inputs!$B$11*Inputs!$B$9*Inputs!$B$10,0)</f>
        <v/>
      </c>
      <c r="L12">
        <f>IF(A12&lt;=Inputs!$B$13,Inputs!$B$14*Inputs!$B$12/Inputs!$B$13,0)</f>
        <v/>
      </c>
      <c r="M12">
        <f>F12-I12</f>
        <v/>
      </c>
      <c r="N12">
        <f>F12-J12</f>
        <v/>
      </c>
      <c r="O12">
        <f>M12*B12</f>
        <v/>
      </c>
      <c r="P12">
        <f>K12*B12</f>
        <v/>
      </c>
      <c r="Q12">
        <f>N12*B12</f>
        <v/>
      </c>
      <c r="R12">
        <f>L12*B12</f>
        <v/>
      </c>
    </row>
    <row r="13">
      <c r="A13" t="n">
        <v>12</v>
      </c>
      <c r="B13">
        <f>1/(1+Inputs!$B$2)^A13</f>
        <v/>
      </c>
      <c r="C13">
        <f>1+Inputs!$B$3*A13/10</f>
        <v/>
      </c>
      <c r="D13">
        <f>MIN(1,Inputs!$B$8*A13)</f>
        <v/>
      </c>
      <c r="E13">
        <f>MIN(1,A13/Inputs!$B$13)</f>
        <v/>
      </c>
      <c r="F13">
        <f>((EAD!$B$2+EAD!$C$2*(C13-1))*Inputs!$B$4+(EAD!$D$2+EAD!$E$2*(C13-1))*Inputs!$B$5*Inputs!$B$6*Inputs!$B$7/10000000)</f>
        <v/>
      </c>
      <c r="G13">
        <f>((EAD!$B$3+EAD!$C$3*(C13-1))*Inputs!$B$4+(EAD!$D$3+EAD!$E$3*(C13-1))*Inputs!$B$5*Inputs!$B$6*Inputs!$B$7/10000000)</f>
        <v/>
      </c>
      <c r="H13">
        <f>((EAD!$B$4+EAD!$C$4*(C13-1))*Inputs!$B$4+(EAD!$D$4+EAD!$E$4*(C13-1))*Inputs!$B$5*Inputs!$B$6*Inputs!$B$7/10000000)</f>
        <v/>
      </c>
      <c r="I13">
        <f>F13-D13*(F13-G13)</f>
        <v/>
      </c>
      <c r="J13">
        <f>F13-E13*(F13-H13)</f>
        <v/>
      </c>
      <c r="K13">
        <f>IF(Inputs!$B$8*(A13-1)&lt;1,Inputs!$B$8*Inputs!$B$11*Inputs!$B$9*Inputs!$B$10,0)</f>
        <v/>
      </c>
      <c r="L13">
        <f>IF(A13&lt;=Inputs!$B$13,Inputs!$B$14*Inputs!$B$12/Inputs!$B$13,0)</f>
        <v/>
      </c>
      <c r="M13">
        <f>F13-I13</f>
        <v/>
      </c>
      <c r="N13">
        <f>F13-J13</f>
        <v/>
      </c>
      <c r="O13">
        <f>M13*B13</f>
        <v/>
      </c>
      <c r="P13">
        <f>K13*B13</f>
        <v/>
      </c>
      <c r="Q13">
        <f>N13*B13</f>
        <v/>
      </c>
      <c r="R13">
        <f>L13*B13</f>
        <v/>
      </c>
    </row>
    <row r="14">
      <c r="A14" t="n">
        <v>13</v>
      </c>
      <c r="B14">
        <f>1/(1+Inputs!$B$2)^A14</f>
        <v/>
      </c>
      <c r="C14">
        <f>1+Inputs!$B$3*A14/10</f>
        <v/>
      </c>
      <c r="D14">
        <f>MIN(1,Inputs!$B$8*A14)</f>
        <v/>
      </c>
      <c r="E14">
        <f>MIN(1,A14/Inputs!$B$13)</f>
        <v/>
      </c>
      <c r="F14">
        <f>((EAD!$B$2+EAD!$C$2*(C14-1))*Inputs!$B$4+(EAD!$D$2+EAD!$E$2*(C14-1))*Inputs!$B$5*Inputs!$B$6*Inputs!$B$7/10000000)</f>
        <v/>
      </c>
      <c r="G14">
        <f>((EAD!$B$3+EAD!$C$3*(C14-1))*Inputs!$B$4+(EAD!$D$3+EAD!$E$3*(C14-1))*Inputs!$B$5*Inputs!$B$6*Inputs!$B$7/10000000)</f>
        <v/>
      </c>
      <c r="H14">
        <f>((EAD!$B$4+EAD!$C$4*(C14-1))*Inputs!$B$4+(EAD!$D$4+EAD!$E$4*(C14-1))*Inputs!$B$5*Inputs!$B$6*Inputs!$B$7/10000000)</f>
        <v/>
      </c>
      <c r="I14">
        <f>F14-D14*(F14-G14)</f>
        <v/>
      </c>
      <c r="J14">
        <f>F14-E14*(F14-H14)</f>
        <v/>
      </c>
      <c r="K14">
        <f>IF(Inputs!$B$8*(A14-1)&lt;1,Inputs!$B$8*Inputs!$B$11*Inputs!$B$9*Inputs!$B$10,0)</f>
        <v/>
      </c>
      <c r="L14">
        <f>IF(A14&lt;=Inputs!$B$13,Inputs!$B$14*Inputs!$B$12/Inputs!$B$13,0)</f>
        <v/>
      </c>
      <c r="M14">
        <f>F14-I14</f>
        <v/>
      </c>
      <c r="N14">
        <f>F14-J14</f>
        <v/>
      </c>
      <c r="O14">
        <f>M14*B14</f>
        <v/>
      </c>
      <c r="P14">
        <f>K14*B14</f>
        <v/>
      </c>
      <c r="Q14">
        <f>N14*B14</f>
        <v/>
      </c>
      <c r="R14">
        <f>L14*B14</f>
        <v/>
      </c>
    </row>
    <row r="15">
      <c r="A15" t="n">
        <v>14</v>
      </c>
      <c r="B15">
        <f>1/(1+Inputs!$B$2)^A15</f>
        <v/>
      </c>
      <c r="C15">
        <f>1+Inputs!$B$3*A15/10</f>
        <v/>
      </c>
      <c r="D15">
        <f>MIN(1,Inputs!$B$8*A15)</f>
        <v/>
      </c>
      <c r="E15">
        <f>MIN(1,A15/Inputs!$B$13)</f>
        <v/>
      </c>
      <c r="F15">
        <f>((EAD!$B$2+EAD!$C$2*(C15-1))*Inputs!$B$4+(EAD!$D$2+EAD!$E$2*(C15-1))*Inputs!$B$5*Inputs!$B$6*Inputs!$B$7/10000000)</f>
        <v/>
      </c>
      <c r="G15">
        <f>((EAD!$B$3+EAD!$C$3*(C15-1))*Inputs!$B$4+(EAD!$D$3+EAD!$E$3*(C15-1))*Inputs!$B$5*Inputs!$B$6*Inputs!$B$7/10000000)</f>
        <v/>
      </c>
      <c r="H15">
        <f>((EAD!$B$4+EAD!$C$4*(C15-1))*Inputs!$B$4+(EAD!$D$4+EAD!$E$4*(C15-1))*Inputs!$B$5*Inputs!$B$6*Inputs!$B$7/10000000)</f>
        <v/>
      </c>
      <c r="I15">
        <f>F15-D15*(F15-G15)</f>
        <v/>
      </c>
      <c r="J15">
        <f>F15-E15*(F15-H15)</f>
        <v/>
      </c>
      <c r="K15">
        <f>IF(Inputs!$B$8*(A15-1)&lt;1,Inputs!$B$8*Inputs!$B$11*Inputs!$B$9*Inputs!$B$10,0)</f>
        <v/>
      </c>
      <c r="L15">
        <f>IF(A15&lt;=Inputs!$B$13,Inputs!$B$14*Inputs!$B$12/Inputs!$B$13,0)</f>
        <v/>
      </c>
      <c r="M15">
        <f>F15-I15</f>
        <v/>
      </c>
      <c r="N15">
        <f>F15-J15</f>
        <v/>
      </c>
      <c r="O15">
        <f>M15*B15</f>
        <v/>
      </c>
      <c r="P15">
        <f>K15*B15</f>
        <v/>
      </c>
      <c r="Q15">
        <f>N15*B15</f>
        <v/>
      </c>
      <c r="R15">
        <f>L15*B15</f>
        <v/>
      </c>
    </row>
    <row r="16">
      <c r="A16" t="n">
        <v>15</v>
      </c>
      <c r="B16">
        <f>1/(1+Inputs!$B$2)^A16</f>
        <v/>
      </c>
      <c r="C16">
        <f>1+Inputs!$B$3*A16/10</f>
        <v/>
      </c>
      <c r="D16">
        <f>MIN(1,Inputs!$B$8*A16)</f>
        <v/>
      </c>
      <c r="E16">
        <f>MIN(1,A16/Inputs!$B$13)</f>
        <v/>
      </c>
      <c r="F16">
        <f>((EAD!$B$2+EAD!$C$2*(C16-1))*Inputs!$B$4+(EAD!$D$2+EAD!$E$2*(C16-1))*Inputs!$B$5*Inputs!$B$6*Inputs!$B$7/10000000)</f>
        <v/>
      </c>
      <c r="G16">
        <f>((EAD!$B$3+EAD!$C$3*(C16-1))*Inputs!$B$4+(EAD!$D$3+EAD!$E$3*(C16-1))*Inputs!$B$5*Inputs!$B$6*Inputs!$B$7/10000000)</f>
        <v/>
      </c>
      <c r="H16">
        <f>((EAD!$B$4+EAD!$C$4*(C16-1))*Inputs!$B$4+(EAD!$D$4+EAD!$E$4*(C16-1))*Inputs!$B$5*Inputs!$B$6*Inputs!$B$7/10000000)</f>
        <v/>
      </c>
      <c r="I16">
        <f>F16-D16*(F16-G16)</f>
        <v/>
      </c>
      <c r="J16">
        <f>F16-E16*(F16-H16)</f>
        <v/>
      </c>
      <c r="K16">
        <f>IF(Inputs!$B$8*(A16-1)&lt;1,Inputs!$B$8*Inputs!$B$11*Inputs!$B$9*Inputs!$B$10,0)</f>
        <v/>
      </c>
      <c r="L16">
        <f>IF(A16&lt;=Inputs!$B$13,Inputs!$B$14*Inputs!$B$12/Inputs!$B$13,0)</f>
        <v/>
      </c>
      <c r="M16">
        <f>F16-I16</f>
        <v/>
      </c>
      <c r="N16">
        <f>F16-J16</f>
        <v/>
      </c>
      <c r="O16">
        <f>M16*B16</f>
        <v/>
      </c>
      <c r="P16">
        <f>K16*B16</f>
        <v/>
      </c>
      <c r="Q16">
        <f>N16*B16</f>
        <v/>
      </c>
      <c r="R16">
        <f>L16*B16</f>
        <v/>
      </c>
    </row>
    <row r="17">
      <c r="A17" t="n">
        <v>16</v>
      </c>
      <c r="B17">
        <f>1/(1+Inputs!$B$2)^A17</f>
        <v/>
      </c>
      <c r="C17">
        <f>1+Inputs!$B$3*A17/10</f>
        <v/>
      </c>
      <c r="D17">
        <f>MIN(1,Inputs!$B$8*A17)</f>
        <v/>
      </c>
      <c r="E17">
        <f>MIN(1,A17/Inputs!$B$13)</f>
        <v/>
      </c>
      <c r="F17">
        <f>((EAD!$B$2+EAD!$C$2*(C17-1))*Inputs!$B$4+(EAD!$D$2+EAD!$E$2*(C17-1))*Inputs!$B$5*Inputs!$B$6*Inputs!$B$7/10000000)</f>
        <v/>
      </c>
      <c r="G17">
        <f>((EAD!$B$3+EAD!$C$3*(C17-1))*Inputs!$B$4+(EAD!$D$3+EAD!$E$3*(C17-1))*Inputs!$B$5*Inputs!$B$6*Inputs!$B$7/10000000)</f>
        <v/>
      </c>
      <c r="H17">
        <f>((EAD!$B$4+EAD!$C$4*(C17-1))*Inputs!$B$4+(EAD!$D$4+EAD!$E$4*(C17-1))*Inputs!$B$5*Inputs!$B$6*Inputs!$B$7/10000000)</f>
        <v/>
      </c>
      <c r="I17">
        <f>F17-D17*(F17-G17)</f>
        <v/>
      </c>
      <c r="J17">
        <f>F17-E17*(F17-H17)</f>
        <v/>
      </c>
      <c r="K17">
        <f>IF(Inputs!$B$8*(A17-1)&lt;1,Inputs!$B$8*Inputs!$B$11*Inputs!$B$9*Inputs!$B$10,0)</f>
        <v/>
      </c>
      <c r="L17">
        <f>IF(A17&lt;=Inputs!$B$13,Inputs!$B$14*Inputs!$B$12/Inputs!$B$13,0)</f>
        <v/>
      </c>
      <c r="M17">
        <f>F17-I17</f>
        <v/>
      </c>
      <c r="N17">
        <f>F17-J17</f>
        <v/>
      </c>
      <c r="O17">
        <f>M17*B17</f>
        <v/>
      </c>
      <c r="P17">
        <f>K17*B17</f>
        <v/>
      </c>
      <c r="Q17">
        <f>N17*B17</f>
        <v/>
      </c>
      <c r="R17">
        <f>L17*B17</f>
        <v/>
      </c>
    </row>
    <row r="18">
      <c r="A18" t="n">
        <v>17</v>
      </c>
      <c r="B18">
        <f>1/(1+Inputs!$B$2)^A18</f>
        <v/>
      </c>
      <c r="C18">
        <f>1+Inputs!$B$3*A18/10</f>
        <v/>
      </c>
      <c r="D18">
        <f>MIN(1,Inputs!$B$8*A18)</f>
        <v/>
      </c>
      <c r="E18">
        <f>MIN(1,A18/Inputs!$B$13)</f>
        <v/>
      </c>
      <c r="F18">
        <f>((EAD!$B$2+EAD!$C$2*(C18-1))*Inputs!$B$4+(EAD!$D$2+EAD!$E$2*(C18-1))*Inputs!$B$5*Inputs!$B$6*Inputs!$B$7/10000000)</f>
        <v/>
      </c>
      <c r="G18">
        <f>((EAD!$B$3+EAD!$C$3*(C18-1))*Inputs!$B$4+(EAD!$D$3+EAD!$E$3*(C18-1))*Inputs!$B$5*Inputs!$B$6*Inputs!$B$7/10000000)</f>
        <v/>
      </c>
      <c r="H18">
        <f>((EAD!$B$4+EAD!$C$4*(C18-1))*Inputs!$B$4+(EAD!$D$4+EAD!$E$4*(C18-1))*Inputs!$B$5*Inputs!$B$6*Inputs!$B$7/10000000)</f>
        <v/>
      </c>
      <c r="I18">
        <f>F18-D18*(F18-G18)</f>
        <v/>
      </c>
      <c r="J18">
        <f>F18-E18*(F18-H18)</f>
        <v/>
      </c>
      <c r="K18">
        <f>IF(Inputs!$B$8*(A18-1)&lt;1,Inputs!$B$8*Inputs!$B$11*Inputs!$B$9*Inputs!$B$10,0)</f>
        <v/>
      </c>
      <c r="L18">
        <f>IF(A18&lt;=Inputs!$B$13,Inputs!$B$14*Inputs!$B$12/Inputs!$B$13,0)</f>
        <v/>
      </c>
      <c r="M18">
        <f>F18-I18</f>
        <v/>
      </c>
      <c r="N18">
        <f>F18-J18</f>
        <v/>
      </c>
      <c r="O18">
        <f>M18*B18</f>
        <v/>
      </c>
      <c r="P18">
        <f>K18*B18</f>
        <v/>
      </c>
      <c r="Q18">
        <f>N18*B18</f>
        <v/>
      </c>
      <c r="R18">
        <f>L18*B18</f>
        <v/>
      </c>
    </row>
    <row r="19">
      <c r="A19" t="n">
        <v>18</v>
      </c>
      <c r="B19">
        <f>1/(1+Inputs!$B$2)^A19</f>
        <v/>
      </c>
      <c r="C19">
        <f>1+Inputs!$B$3*A19/10</f>
        <v/>
      </c>
      <c r="D19">
        <f>MIN(1,Inputs!$B$8*A19)</f>
        <v/>
      </c>
      <c r="E19">
        <f>MIN(1,A19/Inputs!$B$13)</f>
        <v/>
      </c>
      <c r="F19">
        <f>((EAD!$B$2+EAD!$C$2*(C19-1))*Inputs!$B$4+(EAD!$D$2+EAD!$E$2*(C19-1))*Inputs!$B$5*Inputs!$B$6*Inputs!$B$7/10000000)</f>
        <v/>
      </c>
      <c r="G19">
        <f>((EAD!$B$3+EAD!$C$3*(C19-1))*Inputs!$B$4+(EAD!$D$3+EAD!$E$3*(C19-1))*Inputs!$B$5*Inputs!$B$6*Inputs!$B$7/10000000)</f>
        <v/>
      </c>
      <c r="H19">
        <f>((EAD!$B$4+EAD!$C$4*(C19-1))*Inputs!$B$4+(EAD!$D$4+EAD!$E$4*(C19-1))*Inputs!$B$5*Inputs!$B$6*Inputs!$B$7/10000000)</f>
        <v/>
      </c>
      <c r="I19">
        <f>F19-D19*(F19-G19)</f>
        <v/>
      </c>
      <c r="J19">
        <f>F19-E19*(F19-H19)</f>
        <v/>
      </c>
      <c r="K19">
        <f>IF(Inputs!$B$8*(A19-1)&lt;1,Inputs!$B$8*Inputs!$B$11*Inputs!$B$9*Inputs!$B$10,0)</f>
        <v/>
      </c>
      <c r="L19">
        <f>IF(A19&lt;=Inputs!$B$13,Inputs!$B$14*Inputs!$B$12/Inputs!$B$13,0)</f>
        <v/>
      </c>
      <c r="M19">
        <f>F19-I19</f>
        <v/>
      </c>
      <c r="N19">
        <f>F19-J19</f>
        <v/>
      </c>
      <c r="O19">
        <f>M19*B19</f>
        <v/>
      </c>
      <c r="P19">
        <f>K19*B19</f>
        <v/>
      </c>
      <c r="Q19">
        <f>N19*B19</f>
        <v/>
      </c>
      <c r="R19">
        <f>L19*B19</f>
        <v/>
      </c>
    </row>
    <row r="20">
      <c r="A20" t="n">
        <v>19</v>
      </c>
      <c r="B20">
        <f>1/(1+Inputs!$B$2)^A20</f>
        <v/>
      </c>
      <c r="C20">
        <f>1+Inputs!$B$3*A20/10</f>
        <v/>
      </c>
      <c r="D20">
        <f>MIN(1,Inputs!$B$8*A20)</f>
        <v/>
      </c>
      <c r="E20">
        <f>MIN(1,A20/Inputs!$B$13)</f>
        <v/>
      </c>
      <c r="F20">
        <f>((EAD!$B$2+EAD!$C$2*(C20-1))*Inputs!$B$4+(EAD!$D$2+EAD!$E$2*(C20-1))*Inputs!$B$5*Inputs!$B$6*Inputs!$B$7/10000000)</f>
        <v/>
      </c>
      <c r="G20">
        <f>((EAD!$B$3+EAD!$C$3*(C20-1))*Inputs!$B$4+(EAD!$D$3+EAD!$E$3*(C20-1))*Inputs!$B$5*Inputs!$B$6*Inputs!$B$7/10000000)</f>
        <v/>
      </c>
      <c r="H20">
        <f>((EAD!$B$4+EAD!$C$4*(C20-1))*Inputs!$B$4+(EAD!$D$4+EAD!$E$4*(C20-1))*Inputs!$B$5*Inputs!$B$6*Inputs!$B$7/10000000)</f>
        <v/>
      </c>
      <c r="I20">
        <f>F20-D20*(F20-G20)</f>
        <v/>
      </c>
      <c r="J20">
        <f>F20-E20*(F20-H20)</f>
        <v/>
      </c>
      <c r="K20">
        <f>IF(Inputs!$B$8*(A20-1)&lt;1,Inputs!$B$8*Inputs!$B$11*Inputs!$B$9*Inputs!$B$10,0)</f>
        <v/>
      </c>
      <c r="L20">
        <f>IF(A20&lt;=Inputs!$B$13,Inputs!$B$14*Inputs!$B$12/Inputs!$B$13,0)</f>
        <v/>
      </c>
      <c r="M20">
        <f>F20-I20</f>
        <v/>
      </c>
      <c r="N20">
        <f>F20-J20</f>
        <v/>
      </c>
      <c r="O20">
        <f>M20*B20</f>
        <v/>
      </c>
      <c r="P20">
        <f>K20*B20</f>
        <v/>
      </c>
      <c r="Q20">
        <f>N20*B20</f>
        <v/>
      </c>
      <c r="R20">
        <f>L20*B20</f>
        <v/>
      </c>
    </row>
    <row r="21">
      <c r="A21" t="n">
        <v>20</v>
      </c>
      <c r="B21">
        <f>1/(1+Inputs!$B$2)^A21</f>
        <v/>
      </c>
      <c r="C21">
        <f>1+Inputs!$B$3*A21/10</f>
        <v/>
      </c>
      <c r="D21">
        <f>MIN(1,Inputs!$B$8*A21)</f>
        <v/>
      </c>
      <c r="E21">
        <f>MIN(1,A21/Inputs!$B$13)</f>
        <v/>
      </c>
      <c r="F21">
        <f>((EAD!$B$2+EAD!$C$2*(C21-1))*Inputs!$B$4+(EAD!$D$2+EAD!$E$2*(C21-1))*Inputs!$B$5*Inputs!$B$6*Inputs!$B$7/10000000)</f>
        <v/>
      </c>
      <c r="G21">
        <f>((EAD!$B$3+EAD!$C$3*(C21-1))*Inputs!$B$4+(EAD!$D$3+EAD!$E$3*(C21-1))*Inputs!$B$5*Inputs!$B$6*Inputs!$B$7/10000000)</f>
        <v/>
      </c>
      <c r="H21">
        <f>((EAD!$B$4+EAD!$C$4*(C21-1))*Inputs!$B$4+(EAD!$D$4+EAD!$E$4*(C21-1))*Inputs!$B$5*Inputs!$B$6*Inputs!$B$7/10000000)</f>
        <v/>
      </c>
      <c r="I21">
        <f>F21-D21*(F21-G21)</f>
        <v/>
      </c>
      <c r="J21">
        <f>F21-E21*(F21-H21)</f>
        <v/>
      </c>
      <c r="K21">
        <f>IF(Inputs!$B$8*(A21-1)&lt;1,Inputs!$B$8*Inputs!$B$11*Inputs!$B$9*Inputs!$B$10,0)</f>
        <v/>
      </c>
      <c r="L21">
        <f>IF(A21&lt;=Inputs!$B$13,Inputs!$B$14*Inputs!$B$12/Inputs!$B$13,0)</f>
        <v/>
      </c>
      <c r="M21">
        <f>F21-I21</f>
        <v/>
      </c>
      <c r="N21">
        <f>F21-J21</f>
        <v/>
      </c>
      <c r="O21">
        <f>M21*B21</f>
        <v/>
      </c>
      <c r="P21">
        <f>K21*B21</f>
        <v/>
      </c>
      <c r="Q21">
        <f>N21*B21</f>
        <v/>
      </c>
      <c r="R21">
        <f>L21*B21</f>
        <v/>
      </c>
    </row>
    <row r="22">
      <c r="A22" t="n">
        <v>21</v>
      </c>
      <c r="B22">
        <f>1/(1+Inputs!$B$2)^A22</f>
        <v/>
      </c>
      <c r="C22">
        <f>1+Inputs!$B$3*A22/10</f>
        <v/>
      </c>
      <c r="D22">
        <f>MIN(1,Inputs!$B$8*A22)</f>
        <v/>
      </c>
      <c r="E22">
        <f>MIN(1,A22/Inputs!$B$13)</f>
        <v/>
      </c>
      <c r="F22">
        <f>((EAD!$B$2+EAD!$C$2*(C22-1))*Inputs!$B$4+(EAD!$D$2+EAD!$E$2*(C22-1))*Inputs!$B$5*Inputs!$B$6*Inputs!$B$7/10000000)</f>
        <v/>
      </c>
      <c r="G22">
        <f>((EAD!$B$3+EAD!$C$3*(C22-1))*Inputs!$B$4+(EAD!$D$3+EAD!$E$3*(C22-1))*Inputs!$B$5*Inputs!$B$6*Inputs!$B$7/10000000)</f>
        <v/>
      </c>
      <c r="H22">
        <f>((EAD!$B$4+EAD!$C$4*(C22-1))*Inputs!$B$4+(EAD!$D$4+EAD!$E$4*(C22-1))*Inputs!$B$5*Inputs!$B$6*Inputs!$B$7/10000000)</f>
        <v/>
      </c>
      <c r="I22">
        <f>F22-D22*(F22-G22)</f>
        <v/>
      </c>
      <c r="J22">
        <f>F22-E22*(F22-H22)</f>
        <v/>
      </c>
      <c r="K22">
        <f>IF(Inputs!$B$8*(A22-1)&lt;1,Inputs!$B$8*Inputs!$B$11*Inputs!$B$9*Inputs!$B$10,0)</f>
        <v/>
      </c>
      <c r="L22">
        <f>IF(A22&lt;=Inputs!$B$13,Inputs!$B$14*Inputs!$B$12/Inputs!$B$13,0)</f>
        <v/>
      </c>
      <c r="M22">
        <f>F22-I22</f>
        <v/>
      </c>
      <c r="N22">
        <f>F22-J22</f>
        <v/>
      </c>
      <c r="O22">
        <f>M22*B22</f>
        <v/>
      </c>
      <c r="P22">
        <f>K22*B22</f>
        <v/>
      </c>
      <c r="Q22">
        <f>N22*B22</f>
        <v/>
      </c>
      <c r="R22">
        <f>L22*B22</f>
        <v/>
      </c>
    </row>
    <row r="23">
      <c r="A23" t="n">
        <v>22</v>
      </c>
      <c r="B23">
        <f>1/(1+Inputs!$B$2)^A23</f>
        <v/>
      </c>
      <c r="C23">
        <f>1+Inputs!$B$3*A23/10</f>
        <v/>
      </c>
      <c r="D23">
        <f>MIN(1,Inputs!$B$8*A23)</f>
        <v/>
      </c>
      <c r="E23">
        <f>MIN(1,A23/Inputs!$B$13)</f>
        <v/>
      </c>
      <c r="F23">
        <f>((EAD!$B$2+EAD!$C$2*(C23-1))*Inputs!$B$4+(EAD!$D$2+EAD!$E$2*(C23-1))*Inputs!$B$5*Inputs!$B$6*Inputs!$B$7/10000000)</f>
        <v/>
      </c>
      <c r="G23">
        <f>((EAD!$B$3+EAD!$C$3*(C23-1))*Inputs!$B$4+(EAD!$D$3+EAD!$E$3*(C23-1))*Inputs!$B$5*Inputs!$B$6*Inputs!$B$7/10000000)</f>
        <v/>
      </c>
      <c r="H23">
        <f>((EAD!$B$4+EAD!$C$4*(C23-1))*Inputs!$B$4+(EAD!$D$4+EAD!$E$4*(C23-1))*Inputs!$B$5*Inputs!$B$6*Inputs!$B$7/10000000)</f>
        <v/>
      </c>
      <c r="I23">
        <f>F23-D23*(F23-G23)</f>
        <v/>
      </c>
      <c r="J23">
        <f>F23-E23*(F23-H23)</f>
        <v/>
      </c>
      <c r="K23">
        <f>IF(Inputs!$B$8*(A23-1)&lt;1,Inputs!$B$8*Inputs!$B$11*Inputs!$B$9*Inputs!$B$10,0)</f>
        <v/>
      </c>
      <c r="L23">
        <f>IF(A23&lt;=Inputs!$B$13,Inputs!$B$14*Inputs!$B$12/Inputs!$B$13,0)</f>
        <v/>
      </c>
      <c r="M23">
        <f>F23-I23</f>
        <v/>
      </c>
      <c r="N23">
        <f>F23-J23</f>
        <v/>
      </c>
      <c r="O23">
        <f>M23*B23</f>
        <v/>
      </c>
      <c r="P23">
        <f>K23*B23</f>
        <v/>
      </c>
      <c r="Q23">
        <f>N23*B23</f>
        <v/>
      </c>
      <c r="R23">
        <f>L23*B23</f>
        <v/>
      </c>
    </row>
    <row r="24">
      <c r="A24" t="n">
        <v>23</v>
      </c>
      <c r="B24">
        <f>1/(1+Inputs!$B$2)^A24</f>
        <v/>
      </c>
      <c r="C24">
        <f>1+Inputs!$B$3*A24/10</f>
        <v/>
      </c>
      <c r="D24">
        <f>MIN(1,Inputs!$B$8*A24)</f>
        <v/>
      </c>
      <c r="E24">
        <f>MIN(1,A24/Inputs!$B$13)</f>
        <v/>
      </c>
      <c r="F24">
        <f>((EAD!$B$2+EAD!$C$2*(C24-1))*Inputs!$B$4+(EAD!$D$2+EAD!$E$2*(C24-1))*Inputs!$B$5*Inputs!$B$6*Inputs!$B$7/10000000)</f>
        <v/>
      </c>
      <c r="G24">
        <f>((EAD!$B$3+EAD!$C$3*(C24-1))*Inputs!$B$4+(EAD!$D$3+EAD!$E$3*(C24-1))*Inputs!$B$5*Inputs!$B$6*Inputs!$B$7/10000000)</f>
        <v/>
      </c>
      <c r="H24">
        <f>((EAD!$B$4+EAD!$C$4*(C24-1))*Inputs!$B$4+(EAD!$D$4+EAD!$E$4*(C24-1))*Inputs!$B$5*Inputs!$B$6*Inputs!$B$7/10000000)</f>
        <v/>
      </c>
      <c r="I24">
        <f>F24-D24*(F24-G24)</f>
        <v/>
      </c>
      <c r="J24">
        <f>F24-E24*(F24-H24)</f>
        <v/>
      </c>
      <c r="K24">
        <f>IF(Inputs!$B$8*(A24-1)&lt;1,Inputs!$B$8*Inputs!$B$11*Inputs!$B$9*Inputs!$B$10,0)</f>
        <v/>
      </c>
      <c r="L24">
        <f>IF(A24&lt;=Inputs!$B$13,Inputs!$B$14*Inputs!$B$12/Inputs!$B$13,0)</f>
        <v/>
      </c>
      <c r="M24">
        <f>F24-I24</f>
        <v/>
      </c>
      <c r="N24">
        <f>F24-J24</f>
        <v/>
      </c>
      <c r="O24">
        <f>M24*B24</f>
        <v/>
      </c>
      <c r="P24">
        <f>K24*B24</f>
        <v/>
      </c>
      <c r="Q24">
        <f>N24*B24</f>
        <v/>
      </c>
      <c r="R24">
        <f>L24*B24</f>
        <v/>
      </c>
    </row>
    <row r="25">
      <c r="A25" t="n">
        <v>24</v>
      </c>
      <c r="B25">
        <f>1/(1+Inputs!$B$2)^A25</f>
        <v/>
      </c>
      <c r="C25">
        <f>1+Inputs!$B$3*A25/10</f>
        <v/>
      </c>
      <c r="D25">
        <f>MIN(1,Inputs!$B$8*A25)</f>
        <v/>
      </c>
      <c r="E25">
        <f>MIN(1,A25/Inputs!$B$13)</f>
        <v/>
      </c>
      <c r="F25">
        <f>((EAD!$B$2+EAD!$C$2*(C25-1))*Inputs!$B$4+(EAD!$D$2+EAD!$E$2*(C25-1))*Inputs!$B$5*Inputs!$B$6*Inputs!$B$7/10000000)</f>
        <v/>
      </c>
      <c r="G25">
        <f>((EAD!$B$3+EAD!$C$3*(C25-1))*Inputs!$B$4+(EAD!$D$3+EAD!$E$3*(C25-1))*Inputs!$B$5*Inputs!$B$6*Inputs!$B$7/10000000)</f>
        <v/>
      </c>
      <c r="H25">
        <f>((EAD!$B$4+EAD!$C$4*(C25-1))*Inputs!$B$4+(EAD!$D$4+EAD!$E$4*(C25-1))*Inputs!$B$5*Inputs!$B$6*Inputs!$B$7/10000000)</f>
        <v/>
      </c>
      <c r="I25">
        <f>F25-D25*(F25-G25)</f>
        <v/>
      </c>
      <c r="J25">
        <f>F25-E25*(F25-H25)</f>
        <v/>
      </c>
      <c r="K25">
        <f>IF(Inputs!$B$8*(A25-1)&lt;1,Inputs!$B$8*Inputs!$B$11*Inputs!$B$9*Inputs!$B$10,0)</f>
        <v/>
      </c>
      <c r="L25">
        <f>IF(A25&lt;=Inputs!$B$13,Inputs!$B$14*Inputs!$B$12/Inputs!$B$13,0)</f>
        <v/>
      </c>
      <c r="M25">
        <f>F25-I25</f>
        <v/>
      </c>
      <c r="N25">
        <f>F25-J25</f>
        <v/>
      </c>
      <c r="O25">
        <f>M25*B25</f>
        <v/>
      </c>
      <c r="P25">
        <f>K25*B25</f>
        <v/>
      </c>
      <c r="Q25">
        <f>N25*B25</f>
        <v/>
      </c>
      <c r="R25">
        <f>L25*B25</f>
        <v/>
      </c>
    </row>
    <row r="26">
      <c r="A26" t="n">
        <v>25</v>
      </c>
      <c r="B26">
        <f>1/(1+Inputs!$B$2)^A26</f>
        <v/>
      </c>
      <c r="C26">
        <f>1+Inputs!$B$3*A26/10</f>
        <v/>
      </c>
      <c r="D26">
        <f>MIN(1,Inputs!$B$8*A26)</f>
        <v/>
      </c>
      <c r="E26">
        <f>MIN(1,A26/Inputs!$B$13)</f>
        <v/>
      </c>
      <c r="F26">
        <f>((EAD!$B$2+EAD!$C$2*(C26-1))*Inputs!$B$4+(EAD!$D$2+EAD!$E$2*(C26-1))*Inputs!$B$5*Inputs!$B$6*Inputs!$B$7/10000000)</f>
        <v/>
      </c>
      <c r="G26">
        <f>((EAD!$B$3+EAD!$C$3*(C26-1))*Inputs!$B$4+(EAD!$D$3+EAD!$E$3*(C26-1))*Inputs!$B$5*Inputs!$B$6*Inputs!$B$7/10000000)</f>
        <v/>
      </c>
      <c r="H26">
        <f>((EAD!$B$4+EAD!$C$4*(C26-1))*Inputs!$B$4+(EAD!$D$4+EAD!$E$4*(C26-1))*Inputs!$B$5*Inputs!$B$6*Inputs!$B$7/10000000)</f>
        <v/>
      </c>
      <c r="I26">
        <f>F26-D26*(F26-G26)</f>
        <v/>
      </c>
      <c r="J26">
        <f>F26-E26*(F26-H26)</f>
        <v/>
      </c>
      <c r="K26">
        <f>IF(Inputs!$B$8*(A26-1)&lt;1,Inputs!$B$8*Inputs!$B$11*Inputs!$B$9*Inputs!$B$10,0)</f>
        <v/>
      </c>
      <c r="L26">
        <f>IF(A26&lt;=Inputs!$B$13,Inputs!$B$14*Inputs!$B$12/Inputs!$B$13,0)</f>
        <v/>
      </c>
      <c r="M26">
        <f>F26-I26</f>
        <v/>
      </c>
      <c r="N26">
        <f>F26-J26</f>
        <v/>
      </c>
      <c r="O26">
        <f>M26*B26</f>
        <v/>
      </c>
      <c r="P26">
        <f>K26*B26</f>
        <v/>
      </c>
      <c r="Q26">
        <f>N26*B26</f>
        <v/>
      </c>
      <c r="R26">
        <f>L26*B26</f>
        <v/>
      </c>
    </row>
    <row r="27">
      <c r="A27" t="n">
        <v>26</v>
      </c>
      <c r="B27">
        <f>1/(1+Inputs!$B$2)^A27</f>
        <v/>
      </c>
      <c r="C27">
        <f>1+Inputs!$B$3*A27/10</f>
        <v/>
      </c>
      <c r="D27">
        <f>MIN(1,Inputs!$B$8*A27)</f>
        <v/>
      </c>
      <c r="E27">
        <f>MIN(1,A27/Inputs!$B$13)</f>
        <v/>
      </c>
      <c r="F27">
        <f>((EAD!$B$2+EAD!$C$2*(C27-1))*Inputs!$B$4+(EAD!$D$2+EAD!$E$2*(C27-1))*Inputs!$B$5*Inputs!$B$6*Inputs!$B$7/10000000)</f>
        <v/>
      </c>
      <c r="G27">
        <f>((EAD!$B$3+EAD!$C$3*(C27-1))*Inputs!$B$4+(EAD!$D$3+EAD!$E$3*(C27-1))*Inputs!$B$5*Inputs!$B$6*Inputs!$B$7/10000000)</f>
        <v/>
      </c>
      <c r="H27">
        <f>((EAD!$B$4+EAD!$C$4*(C27-1))*Inputs!$B$4+(EAD!$D$4+EAD!$E$4*(C27-1))*Inputs!$B$5*Inputs!$B$6*Inputs!$B$7/10000000)</f>
        <v/>
      </c>
      <c r="I27">
        <f>F27-D27*(F27-G27)</f>
        <v/>
      </c>
      <c r="J27">
        <f>F27-E27*(F27-H27)</f>
        <v/>
      </c>
      <c r="K27">
        <f>IF(Inputs!$B$8*(A27-1)&lt;1,Inputs!$B$8*Inputs!$B$11*Inputs!$B$9*Inputs!$B$10,0)</f>
        <v/>
      </c>
      <c r="L27">
        <f>IF(A27&lt;=Inputs!$B$13,Inputs!$B$14*Inputs!$B$12/Inputs!$B$13,0)</f>
        <v/>
      </c>
      <c r="M27">
        <f>F27-I27</f>
        <v/>
      </c>
      <c r="N27">
        <f>F27-J27</f>
        <v/>
      </c>
      <c r="O27">
        <f>M27*B27</f>
        <v/>
      </c>
      <c r="P27">
        <f>K27*B27</f>
        <v/>
      </c>
      <c r="Q27">
        <f>N27*B27</f>
        <v/>
      </c>
      <c r="R27">
        <f>L27*B27</f>
        <v/>
      </c>
    </row>
    <row r="28">
      <c r="A28" t="n">
        <v>27</v>
      </c>
      <c r="B28">
        <f>1/(1+Inputs!$B$2)^A28</f>
        <v/>
      </c>
      <c r="C28">
        <f>1+Inputs!$B$3*A28/10</f>
        <v/>
      </c>
      <c r="D28">
        <f>MIN(1,Inputs!$B$8*A28)</f>
        <v/>
      </c>
      <c r="E28">
        <f>MIN(1,A28/Inputs!$B$13)</f>
        <v/>
      </c>
      <c r="F28">
        <f>((EAD!$B$2+EAD!$C$2*(C28-1))*Inputs!$B$4+(EAD!$D$2+EAD!$E$2*(C28-1))*Inputs!$B$5*Inputs!$B$6*Inputs!$B$7/10000000)</f>
        <v/>
      </c>
      <c r="G28">
        <f>((EAD!$B$3+EAD!$C$3*(C28-1))*Inputs!$B$4+(EAD!$D$3+EAD!$E$3*(C28-1))*Inputs!$B$5*Inputs!$B$6*Inputs!$B$7/10000000)</f>
        <v/>
      </c>
      <c r="H28">
        <f>((EAD!$B$4+EAD!$C$4*(C28-1))*Inputs!$B$4+(EAD!$D$4+EAD!$E$4*(C28-1))*Inputs!$B$5*Inputs!$B$6*Inputs!$B$7/10000000)</f>
        <v/>
      </c>
      <c r="I28">
        <f>F28-D28*(F28-G28)</f>
        <v/>
      </c>
      <c r="J28">
        <f>F28-E28*(F28-H28)</f>
        <v/>
      </c>
      <c r="K28">
        <f>IF(Inputs!$B$8*(A28-1)&lt;1,Inputs!$B$8*Inputs!$B$11*Inputs!$B$9*Inputs!$B$10,0)</f>
        <v/>
      </c>
      <c r="L28">
        <f>IF(A28&lt;=Inputs!$B$13,Inputs!$B$14*Inputs!$B$12/Inputs!$B$13,0)</f>
        <v/>
      </c>
      <c r="M28">
        <f>F28-I28</f>
        <v/>
      </c>
      <c r="N28">
        <f>F28-J28</f>
        <v/>
      </c>
      <c r="O28">
        <f>M28*B28</f>
        <v/>
      </c>
      <c r="P28">
        <f>K28*B28</f>
        <v/>
      </c>
      <c r="Q28">
        <f>N28*B28</f>
        <v/>
      </c>
      <c r="R28">
        <f>L28*B28</f>
        <v/>
      </c>
    </row>
    <row r="29">
      <c r="A29" t="n">
        <v>28</v>
      </c>
      <c r="B29">
        <f>1/(1+Inputs!$B$2)^A29</f>
        <v/>
      </c>
      <c r="C29">
        <f>1+Inputs!$B$3*A29/10</f>
        <v/>
      </c>
      <c r="D29">
        <f>MIN(1,Inputs!$B$8*A29)</f>
        <v/>
      </c>
      <c r="E29">
        <f>MIN(1,A29/Inputs!$B$13)</f>
        <v/>
      </c>
      <c r="F29">
        <f>((EAD!$B$2+EAD!$C$2*(C29-1))*Inputs!$B$4+(EAD!$D$2+EAD!$E$2*(C29-1))*Inputs!$B$5*Inputs!$B$6*Inputs!$B$7/10000000)</f>
        <v/>
      </c>
      <c r="G29">
        <f>((EAD!$B$3+EAD!$C$3*(C29-1))*Inputs!$B$4+(EAD!$D$3+EAD!$E$3*(C29-1))*Inputs!$B$5*Inputs!$B$6*Inputs!$B$7/10000000)</f>
        <v/>
      </c>
      <c r="H29">
        <f>((EAD!$B$4+EAD!$C$4*(C29-1))*Inputs!$B$4+(EAD!$D$4+EAD!$E$4*(C29-1))*Inputs!$B$5*Inputs!$B$6*Inputs!$B$7/10000000)</f>
        <v/>
      </c>
      <c r="I29">
        <f>F29-D29*(F29-G29)</f>
        <v/>
      </c>
      <c r="J29">
        <f>F29-E29*(F29-H29)</f>
        <v/>
      </c>
      <c r="K29">
        <f>IF(Inputs!$B$8*(A29-1)&lt;1,Inputs!$B$8*Inputs!$B$11*Inputs!$B$9*Inputs!$B$10,0)</f>
        <v/>
      </c>
      <c r="L29">
        <f>IF(A29&lt;=Inputs!$B$13,Inputs!$B$14*Inputs!$B$12/Inputs!$B$13,0)</f>
        <v/>
      </c>
      <c r="M29">
        <f>F29-I29</f>
        <v/>
      </c>
      <c r="N29">
        <f>F29-J29</f>
        <v/>
      </c>
      <c r="O29">
        <f>M29*B29</f>
        <v/>
      </c>
      <c r="P29">
        <f>K29*B29</f>
        <v/>
      </c>
      <c r="Q29">
        <f>N29*B29</f>
        <v/>
      </c>
      <c r="R29">
        <f>L29*B29</f>
        <v/>
      </c>
    </row>
    <row r="30">
      <c r="A30" t="n">
        <v>29</v>
      </c>
      <c r="B30">
        <f>1/(1+Inputs!$B$2)^A30</f>
        <v/>
      </c>
      <c r="C30">
        <f>1+Inputs!$B$3*A30/10</f>
        <v/>
      </c>
      <c r="D30">
        <f>MIN(1,Inputs!$B$8*A30)</f>
        <v/>
      </c>
      <c r="E30">
        <f>MIN(1,A30/Inputs!$B$13)</f>
        <v/>
      </c>
      <c r="F30">
        <f>((EAD!$B$2+EAD!$C$2*(C30-1))*Inputs!$B$4+(EAD!$D$2+EAD!$E$2*(C30-1))*Inputs!$B$5*Inputs!$B$6*Inputs!$B$7/10000000)</f>
        <v/>
      </c>
      <c r="G30">
        <f>((EAD!$B$3+EAD!$C$3*(C30-1))*Inputs!$B$4+(EAD!$D$3+EAD!$E$3*(C30-1))*Inputs!$B$5*Inputs!$B$6*Inputs!$B$7/10000000)</f>
        <v/>
      </c>
      <c r="H30">
        <f>((EAD!$B$4+EAD!$C$4*(C30-1))*Inputs!$B$4+(EAD!$D$4+EAD!$E$4*(C30-1))*Inputs!$B$5*Inputs!$B$6*Inputs!$B$7/10000000)</f>
        <v/>
      </c>
      <c r="I30">
        <f>F30-D30*(F30-G30)</f>
        <v/>
      </c>
      <c r="J30">
        <f>F30-E30*(F30-H30)</f>
        <v/>
      </c>
      <c r="K30">
        <f>IF(Inputs!$B$8*(A30-1)&lt;1,Inputs!$B$8*Inputs!$B$11*Inputs!$B$9*Inputs!$B$10,0)</f>
        <v/>
      </c>
      <c r="L30">
        <f>IF(A30&lt;=Inputs!$B$13,Inputs!$B$14*Inputs!$B$12/Inputs!$B$13,0)</f>
        <v/>
      </c>
      <c r="M30">
        <f>F30-I30</f>
        <v/>
      </c>
      <c r="N30">
        <f>F30-J30</f>
        <v/>
      </c>
      <c r="O30">
        <f>M30*B30</f>
        <v/>
      </c>
      <c r="P30">
        <f>K30*B30</f>
        <v/>
      </c>
      <c r="Q30">
        <f>N30*B30</f>
        <v/>
      </c>
      <c r="R30">
        <f>L30*B30</f>
        <v/>
      </c>
    </row>
    <row r="31">
      <c r="A31" t="n">
        <v>30</v>
      </c>
      <c r="B31">
        <f>1/(1+Inputs!$B$2)^A31</f>
        <v/>
      </c>
      <c r="C31">
        <f>1+Inputs!$B$3*A31/10</f>
        <v/>
      </c>
      <c r="D31">
        <f>MIN(1,Inputs!$B$8*A31)</f>
        <v/>
      </c>
      <c r="E31">
        <f>MIN(1,A31/Inputs!$B$13)</f>
        <v/>
      </c>
      <c r="F31">
        <f>((EAD!$B$2+EAD!$C$2*(C31-1))*Inputs!$B$4+(EAD!$D$2+EAD!$E$2*(C31-1))*Inputs!$B$5*Inputs!$B$6*Inputs!$B$7/10000000)</f>
        <v/>
      </c>
      <c r="G31">
        <f>((EAD!$B$3+EAD!$C$3*(C31-1))*Inputs!$B$4+(EAD!$D$3+EAD!$E$3*(C31-1))*Inputs!$B$5*Inputs!$B$6*Inputs!$B$7/10000000)</f>
        <v/>
      </c>
      <c r="H31">
        <f>((EAD!$B$4+EAD!$C$4*(C31-1))*Inputs!$B$4+(EAD!$D$4+EAD!$E$4*(C31-1))*Inputs!$B$5*Inputs!$B$6*Inputs!$B$7/10000000)</f>
        <v/>
      </c>
      <c r="I31">
        <f>F31-D31*(F31-G31)</f>
        <v/>
      </c>
      <c r="J31">
        <f>F31-E31*(F31-H31)</f>
        <v/>
      </c>
      <c r="K31">
        <f>IF(Inputs!$B$8*(A31-1)&lt;1,Inputs!$B$8*Inputs!$B$11*Inputs!$B$9*Inputs!$B$10,0)</f>
        <v/>
      </c>
      <c r="L31">
        <f>IF(A31&lt;=Inputs!$B$13,Inputs!$B$14*Inputs!$B$12/Inputs!$B$13,0)</f>
        <v/>
      </c>
      <c r="M31">
        <f>F31-I31</f>
        <v/>
      </c>
      <c r="N31">
        <f>F31-J31</f>
        <v/>
      </c>
      <c r="O31">
        <f>M31*B31</f>
        <v/>
      </c>
      <c r="P31">
        <f>K31*B31</f>
        <v/>
      </c>
      <c r="Q31">
        <f>N31*B31</f>
        <v/>
      </c>
      <c r="R31">
        <f>L31*B31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option</t>
        </is>
      </c>
      <c r="B1" s="1" t="inlineStr">
        <is>
          <t>PV benefits (cr)</t>
        </is>
      </c>
      <c r="C1" s="1" t="inlineStr">
        <is>
          <t>PV costs (cr)</t>
        </is>
      </c>
      <c r="D1" s="1" t="inlineStr">
        <is>
          <t>NPV (cr)</t>
        </is>
      </c>
      <c r="E1" s="1" t="inlineStr">
        <is>
          <t>BCR</t>
        </is>
      </c>
    </row>
    <row r="2">
      <c r="A2" t="inlineStr">
        <is>
          <t>(a) raise design wind, new lines</t>
        </is>
      </c>
      <c r="B2">
        <f>SUM(CashFlows!O2:O31)</f>
        <v/>
      </c>
      <c r="C2">
        <f>SUM(CashFlows!P2:P31)</f>
        <v/>
      </c>
      <c r="D2">
        <f>B2-C2</f>
        <v/>
      </c>
      <c r="E2">
        <f>IF(C2&gt;0,B2/C2,"")</f>
        <v/>
      </c>
    </row>
    <row r="3">
      <c r="A3" t="inlineStr">
        <is>
          <t>(b) harden top corridors</t>
        </is>
      </c>
      <c r="B3">
        <f>SUM(CashFlows!Q2:Q31)</f>
        <v/>
      </c>
      <c r="C3">
        <f>SUM(CashFlows!R2:R31)</f>
        <v/>
      </c>
      <c r="D3">
        <f>B3-C3</f>
        <v/>
      </c>
      <c r="E3">
        <f>IF(C3&gt;0,B3/C3,"")</f>
        <v/>
      </c>
    </row>
    <row r="4">
      <c r="A4" t="inlineStr">
        <is>
          <t>(c) do nothing</t>
        </is>
      </c>
      <c r="B4" t="n">
        <v>0</v>
      </c>
      <c r="C4" t="n">
        <v>0</v>
      </c>
      <c r="D4" t="n">
        <v>0</v>
      </c>
      <c r="E4" t="inlineStr"/>
    </row>
    <row r="6">
      <c r="A6" t="inlineStr">
        <is>
          <t>Python check (same inputs):</t>
        </is>
      </c>
      <c r="B6" t="n">
        <v>0.4921792421368177</v>
      </c>
      <c r="C6" t="n">
        <v>0.1653868852756684</v>
      </c>
      <c r="D6" t="inlineStr">
        <is>
          <t>BCR (a), BCR (b)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option</t>
        </is>
      </c>
      <c r="B1" t="inlineStr">
        <is>
          <t>input</t>
        </is>
      </c>
      <c r="C1" t="inlineStr">
        <is>
          <t>low_value</t>
        </is>
      </c>
      <c r="D1" t="inlineStr">
        <is>
          <t>high_value</t>
        </is>
      </c>
      <c r="E1" t="inlineStr">
        <is>
          <t>bcr_low</t>
        </is>
      </c>
      <c r="F1" t="inlineStr">
        <is>
          <t>bcr_high</t>
        </is>
      </c>
      <c r="G1" t="inlineStr">
        <is>
          <t>bcr_base</t>
        </is>
      </c>
      <c r="H1" t="inlineStr">
        <is>
          <t>swing</t>
        </is>
      </c>
    </row>
    <row r="2">
      <c r="A2" t="inlineStr">
        <is>
          <t>a</t>
        </is>
      </c>
      <c r="B2" t="inlineStr">
        <is>
          <t>Discount rate</t>
        </is>
      </c>
      <c r="C2" t="n">
        <v>0.1</v>
      </c>
      <c r="D2" t="n">
        <v>0.06</v>
      </c>
      <c r="E2" t="n">
        <v>0.4551243766460476</v>
      </c>
      <c r="F2" t="n">
        <v>0.5625533790425563</v>
      </c>
      <c r="G2" t="n">
        <v>0.4921792421368177</v>
      </c>
      <c r="H2" t="n">
        <v>0.1074290023965087</v>
      </c>
    </row>
    <row r="3">
      <c r="A3" t="inlineStr">
        <is>
          <t>b</t>
        </is>
      </c>
      <c r="B3" t="inlineStr">
        <is>
          <t>Discount rate</t>
        </is>
      </c>
      <c r="C3" t="n">
        <v>0.1</v>
      </c>
      <c r="D3" t="n">
        <v>0.06</v>
      </c>
      <c r="E3" t="n">
        <v>0.1473681076910673</v>
      </c>
      <c r="F3" t="n">
        <v>0.2059969197611957</v>
      </c>
      <c r="G3" t="n">
        <v>0.1653868852756684</v>
      </c>
      <c r="H3" t="n">
        <v>0.05862881207012841</v>
      </c>
    </row>
    <row r="4">
      <c r="A4" t="inlineStr">
        <is>
          <t>a</t>
        </is>
      </c>
      <c r="B4" t="inlineStr">
        <is>
          <t>Value of lost load (INR/kWh)</t>
        </is>
      </c>
      <c r="C4" t="n">
        <v>40</v>
      </c>
      <c r="D4" t="n">
        <v>250</v>
      </c>
      <c r="E4" t="n">
        <v>0.3302277419457714</v>
      </c>
      <c r="F4" t="n">
        <v>0.8970579926144324</v>
      </c>
      <c r="G4" t="n">
        <v>0.4921792421368177</v>
      </c>
      <c r="H4" t="n">
        <v>0.566830250668661</v>
      </c>
    </row>
    <row r="5">
      <c r="A5" t="inlineStr">
        <is>
          <t>b</t>
        </is>
      </c>
      <c r="B5" t="inlineStr">
        <is>
          <t>Value of lost load (INR/kWh)</t>
        </is>
      </c>
      <c r="C5" t="n">
        <v>40</v>
      </c>
      <c r="D5" t="n">
        <v>250</v>
      </c>
      <c r="E5" t="n">
        <v>0.1255701715426864</v>
      </c>
      <c r="F5" t="n">
        <v>0.2649286696081229</v>
      </c>
      <c r="G5" t="n">
        <v>0.1653868852756684</v>
      </c>
      <c r="H5" t="n">
        <v>0.1393584980654366</v>
      </c>
    </row>
    <row r="6">
      <c r="A6" t="inlineStr">
        <is>
          <t>a</t>
        </is>
      </c>
      <c r="B6" t="inlineStr">
        <is>
          <t>Outage days</t>
        </is>
      </c>
      <c r="C6" t="n">
        <v>3</v>
      </c>
      <c r="D6" t="n">
        <v>14</v>
      </c>
      <c r="E6" t="n">
        <v>0.3379397181453451</v>
      </c>
      <c r="F6" t="n">
        <v>0.7620984091218941</v>
      </c>
      <c r="G6" t="n">
        <v>0.4921792421368177</v>
      </c>
      <c r="H6" t="n">
        <v>0.424158690976549</v>
      </c>
    </row>
    <row r="7">
      <c r="A7" t="inlineStr">
        <is>
          <t>b</t>
        </is>
      </c>
      <c r="B7" t="inlineStr">
        <is>
          <t>Outage days</t>
        </is>
      </c>
      <c r="C7" t="n">
        <v>3</v>
      </c>
      <c r="D7" t="n">
        <v>14</v>
      </c>
      <c r="E7" t="n">
        <v>0.1274662055299713</v>
      </c>
      <c r="F7" t="n">
        <v>0.2317480748306378</v>
      </c>
      <c r="G7" t="n">
        <v>0.1653868852756684</v>
      </c>
      <c r="H7" t="n">
        <v>0.1042818693006664</v>
      </c>
    </row>
    <row r="8">
      <c r="A8" t="inlineStr">
        <is>
          <t>a</t>
        </is>
      </c>
      <c r="B8" t="inlineStr">
        <is>
          <t>kWh per person per day</t>
        </is>
      </c>
      <c r="C8" t="n">
        <v>1.5</v>
      </c>
      <c r="D8" t="n">
        <v>4.5</v>
      </c>
      <c r="E8" t="n">
        <v>0.3572196586442792</v>
      </c>
      <c r="F8" t="n">
        <v>0.6271388256293556</v>
      </c>
      <c r="G8" t="n">
        <v>0.4921792421368177</v>
      </c>
      <c r="H8" t="n">
        <v>0.2699191669850764</v>
      </c>
    </row>
    <row r="9">
      <c r="A9" t="inlineStr">
        <is>
          <t>b</t>
        </is>
      </c>
      <c r="B9" t="inlineStr">
        <is>
          <t>kWh per person per day</t>
        </is>
      </c>
      <c r="C9" t="n">
        <v>1.5</v>
      </c>
      <c r="D9" t="n">
        <v>4.5</v>
      </c>
      <c r="E9" t="n">
        <v>0.1322062904981835</v>
      </c>
      <c r="F9" t="n">
        <v>0.1985674800531527</v>
      </c>
      <c r="G9" t="n">
        <v>0.1653868852756684</v>
      </c>
      <c r="H9" t="n">
        <v>0.0663611895549692</v>
      </c>
    </row>
    <row r="10">
      <c r="A10" t="inlineStr">
        <is>
          <t>a</t>
        </is>
      </c>
      <c r="B10" t="inlineStr">
        <is>
          <t>Repair cost per tower (cr)</t>
        </is>
      </c>
      <c r="C10" t="n">
        <v>0.5</v>
      </c>
      <c r="D10" t="n">
        <v>1</v>
      </c>
      <c r="E10" t="n">
        <v>0.4220544055916157</v>
      </c>
      <c r="F10" t="n">
        <v>0.5741896441981551</v>
      </c>
      <c r="G10" t="n">
        <v>0.4921792421368177</v>
      </c>
      <c r="H10" t="n">
        <v>0.1521352386065394</v>
      </c>
    </row>
    <row r="11">
      <c r="A11" t="inlineStr">
        <is>
          <t>b</t>
        </is>
      </c>
      <c r="B11" t="inlineStr">
        <is>
          <t>Repair cost per tower (cr)</t>
        </is>
      </c>
      <c r="C11" t="n">
        <v>0.5</v>
      </c>
      <c r="D11" t="n">
        <v>1</v>
      </c>
      <c r="E11" t="n">
        <v>0.1341434839520253</v>
      </c>
      <c r="F11" t="n">
        <v>0.2019257783490815</v>
      </c>
      <c r="G11" t="n">
        <v>0.1653868852756684</v>
      </c>
      <c r="H11" t="n">
        <v>0.06778229439705621</v>
      </c>
    </row>
    <row r="12">
      <c r="A12" t="inlineStr">
        <is>
          <t>a</t>
        </is>
      </c>
      <c r="B12" t="inlineStr">
        <is>
          <t>Climate: wind growth per decade</t>
        </is>
      </c>
      <c r="C12" t="n">
        <v>0</v>
      </c>
      <c r="D12" t="n">
        <v>0.04</v>
      </c>
      <c r="E12" t="n">
        <v>0.4921792421368177</v>
      </c>
      <c r="F12" t="n">
        <v>0.5825660635327931</v>
      </c>
      <c r="G12" t="n">
        <v>0.4921792421368177</v>
      </c>
      <c r="H12" t="n">
        <v>0.09038682139597537</v>
      </c>
    </row>
    <row r="13">
      <c r="A13" t="inlineStr">
        <is>
          <t>b</t>
        </is>
      </c>
      <c r="B13" t="inlineStr">
        <is>
          <t>Climate: wind growth per decade</t>
        </is>
      </c>
      <c r="C13" t="n">
        <v>0</v>
      </c>
      <c r="D13" t="n">
        <v>0.04</v>
      </c>
      <c r="E13" t="n">
        <v>0.1653868852756684</v>
      </c>
      <c r="F13" t="n">
        <v>0.185513858610805</v>
      </c>
      <c r="G13" t="n">
        <v>0.1653868852756684</v>
      </c>
      <c r="H13" t="n">
        <v>0.02012697333513666</v>
      </c>
    </row>
    <row r="14">
      <c r="A14" t="inlineStr">
        <is>
          <t>a</t>
        </is>
      </c>
      <c r="B14" t="inlineStr">
        <is>
          <t>(a) incremental cost %</t>
        </is>
      </c>
      <c r="C14" t="n">
        <v>0.4</v>
      </c>
      <c r="D14" t="n">
        <v>0.1</v>
      </c>
      <c r="E14" t="n">
        <v>0.2460896210684088</v>
      </c>
      <c r="F14" t="n">
        <v>0.9843584842736354</v>
      </c>
      <c r="G14" t="n">
        <v>0.4921792421368177</v>
      </c>
      <c r="H14" t="n">
        <v>0.7382688632052266</v>
      </c>
    </row>
    <row r="15">
      <c r="A15" t="inlineStr">
        <is>
          <t>b</t>
        </is>
      </c>
      <c r="B15" t="inlineStr">
        <is>
          <t>(a) incremental cost %</t>
        </is>
      </c>
      <c r="C15" t="n">
        <v>0.4</v>
      </c>
      <c r="D15" t="n">
        <v>0.1</v>
      </c>
      <c r="E15" t="n">
        <v>0.1653868852756684</v>
      </c>
      <c r="F15" t="n">
        <v>0.1653868852756684</v>
      </c>
      <c r="G15" t="n">
        <v>0.1653868852756684</v>
      </c>
      <c r="H15" t="n">
        <v>0</v>
      </c>
    </row>
    <row r="16">
      <c r="A16" t="inlineStr">
        <is>
          <t>a</t>
        </is>
      </c>
      <c r="B16" t="inlineStr">
        <is>
          <t>(a) renewal rate</t>
        </is>
      </c>
      <c r="C16" t="n">
        <v>0.02</v>
      </c>
      <c r="D16" t="n">
        <v>0.05</v>
      </c>
      <c r="E16" t="n">
        <v>0.4921792421368173</v>
      </c>
      <c r="F16" t="n">
        <v>0.526412423799514</v>
      </c>
      <c r="G16" t="n">
        <v>0.4921792421368177</v>
      </c>
      <c r="H16" t="n">
        <v>0.03423318166269673</v>
      </c>
    </row>
    <row r="17">
      <c r="A17" t="inlineStr">
        <is>
          <t>b</t>
        </is>
      </c>
      <c r="B17" t="inlineStr">
        <is>
          <t>(a) renewal rate</t>
        </is>
      </c>
      <c r="C17" t="n">
        <v>0.02</v>
      </c>
      <c r="D17" t="n">
        <v>0.05</v>
      </c>
      <c r="E17" t="n">
        <v>0.1653868852756684</v>
      </c>
      <c r="F17" t="n">
        <v>0.1653868852756684</v>
      </c>
      <c r="G17" t="n">
        <v>0.1653868852756684</v>
      </c>
      <c r="H17" t="n">
        <v>0</v>
      </c>
    </row>
    <row r="18">
      <c r="A18" t="inlineStr">
        <is>
          <t>a</t>
        </is>
      </c>
      <c r="B18" t="inlineStr">
        <is>
          <t>(a) capacity gain</t>
        </is>
      </c>
      <c r="C18" t="inlineStr">
        <is>
          <t>a_lo</t>
        </is>
      </c>
      <c r="D18" t="inlineStr">
        <is>
          <t>a_hi</t>
        </is>
      </c>
      <c r="E18" t="n">
        <v>0.2963125111868933</v>
      </c>
      <c r="F18" t="n">
        <v>0.624664604287597</v>
      </c>
      <c r="G18" t="n">
        <v>0.4921792421368177</v>
      </c>
      <c r="H18" t="n">
        <v>0.3283520931007037</v>
      </c>
    </row>
    <row r="19">
      <c r="A19" t="inlineStr">
        <is>
          <t>b</t>
        </is>
      </c>
      <c r="B19" t="inlineStr">
        <is>
          <t>(a) capacity gain</t>
        </is>
      </c>
      <c r="C19" t="inlineStr">
        <is>
          <t>a_lo</t>
        </is>
      </c>
      <c r="D19" t="inlineStr">
        <is>
          <t>a_hi</t>
        </is>
      </c>
      <c r="E19" t="n">
        <v>0.1653868852756684</v>
      </c>
      <c r="F19" t="n">
        <v>0.1653868852756684</v>
      </c>
      <c r="G19" t="n">
        <v>0.1653868852756684</v>
      </c>
      <c r="H19" t="n">
        <v>0</v>
      </c>
    </row>
    <row r="20">
      <c r="A20" t="inlineStr">
        <is>
          <t>a</t>
        </is>
      </c>
      <c r="B20" t="inlineStr">
        <is>
          <t>(b) retrofit cost per tower (cr)</t>
        </is>
      </c>
      <c r="C20" t="n">
        <v>0.5</v>
      </c>
      <c r="D20" t="n">
        <v>0.25</v>
      </c>
      <c r="E20" t="n">
        <v>0.4921792421368177</v>
      </c>
      <c r="F20" t="n">
        <v>0.4921792421368177</v>
      </c>
      <c r="G20" t="n">
        <v>0.4921792421368177</v>
      </c>
      <c r="H20" t="n">
        <v>0</v>
      </c>
    </row>
    <row r="21">
      <c r="A21" t="inlineStr">
        <is>
          <t>b</t>
        </is>
      </c>
      <c r="B21" t="inlineStr">
        <is>
          <t>(b) retrofit cost per tower (cr)</t>
        </is>
      </c>
      <c r="C21" t="n">
        <v>0.5</v>
      </c>
      <c r="D21" t="n">
        <v>0.25</v>
      </c>
      <c r="E21" t="n">
        <v>0.1157708196929679</v>
      </c>
      <c r="F21" t="n">
        <v>0.2315416393859357</v>
      </c>
      <c r="G21" t="n">
        <v>0.1653868852756684</v>
      </c>
      <c r="H21" t="n">
        <v>0.1157708196929679</v>
      </c>
    </row>
    <row r="22">
      <c r="A22" t="inlineStr">
        <is>
          <t>a</t>
        </is>
      </c>
      <c r="B22" t="inlineStr">
        <is>
          <t>(b) capacity gain</t>
        </is>
      </c>
      <c r="C22" t="inlineStr">
        <is>
          <t>b_lo</t>
        </is>
      </c>
      <c r="D22" t="inlineStr">
        <is>
          <t>b_hi</t>
        </is>
      </c>
      <c r="E22" t="n">
        <v>0.4921792421368177</v>
      </c>
      <c r="F22" t="n">
        <v>0.4921792421368177</v>
      </c>
      <c r="G22" t="n">
        <v>0.4921792421368177</v>
      </c>
      <c r="H22" t="n">
        <v>0</v>
      </c>
    </row>
    <row r="23">
      <c r="A23" t="inlineStr">
        <is>
          <t>b</t>
        </is>
      </c>
      <c r="B23" t="inlineStr">
        <is>
          <t>(b) capacity gain</t>
        </is>
      </c>
      <c r="C23" t="inlineStr">
        <is>
          <t>b_lo</t>
        </is>
      </c>
      <c r="D23" t="inlineStr">
        <is>
          <t>b_hi</t>
        </is>
      </c>
      <c r="E23" t="n">
        <v>0.1225024742837339</v>
      </c>
      <c r="F23" t="n">
        <v>0.2010058492858092</v>
      </c>
      <c r="G23" t="n">
        <v>0.1653868852756684</v>
      </c>
      <c r="H23" t="n">
        <v>0.07850337500207527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2026-10-18T10:16:47Z</dcterms:created>
  <dcterms:modified xmlns:dcterms="http://purl.org/dc/terms/" xmlns:xsi="http://www.w3.org/2001/XMLSchema-instance" xsi:type="dcterms:W3CDTF">2026-10-18T10:16:47Z</dcterms:modified>
</cp:coreProperties>
</file>